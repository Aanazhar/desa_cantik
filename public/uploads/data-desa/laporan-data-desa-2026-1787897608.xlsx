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23\Downloads\"/>
    </mc:Choice>
  </mc:AlternateContent>
  <bookViews>
    <workbookView xWindow="-110" yWindow="-110" windowWidth="19420" windowHeight="11020" tabRatio="700" activeTab="7"/>
  </bookViews>
  <sheets>
    <sheet name="DASHBOARD" sheetId="26" r:id="rId1"/>
    <sheet name="DATA" sheetId="1" r:id="rId2"/>
    <sheet name="PLOT DATA" sheetId="2" r:id="rId3"/>
    <sheet name="STATIONARY TEST" sheetId="3" r:id="rId4"/>
    <sheet name="ACF PACF" sheetId="4" r:id="rId5"/>
    <sheet name="ARIMA 101" sheetId="5" r:id="rId6"/>
    <sheet name="FORECAST" sheetId="8" r:id="rId7"/>
    <sheet name="EVALUASI" sheetId="9" r:id="rId8"/>
    <sheet name="DATA FTS" sheetId="15" r:id="rId9"/>
    <sheet name="UOD" sheetId="18" r:id="rId10"/>
    <sheet name="INTERVAL" sheetId="16" r:id="rId11"/>
    <sheet name="FUZZIFIKASI" sheetId="17" r:id="rId12"/>
    <sheet name="FLR" sheetId="19" r:id="rId13"/>
    <sheet name="FLRG" sheetId="20" r:id="rId14"/>
    <sheet name="DEFUZZIFIKASI" sheetId="25" r:id="rId15"/>
    <sheet name="FORECAST FTS" sheetId="21" r:id="rId16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8" i="21" l="1"/>
  <c r="K30" i="21"/>
  <c r="K6" i="21"/>
  <c r="I54" i="21"/>
  <c r="J54" i="21" s="1"/>
  <c r="I30" i="21"/>
  <c r="J30" i="21" s="1"/>
  <c r="I22" i="21"/>
  <c r="J22" i="21" s="1"/>
  <c r="H58" i="21"/>
  <c r="H50" i="21"/>
  <c r="H33" i="21"/>
  <c r="H25" i="21"/>
  <c r="H17" i="21"/>
  <c r="H9" i="21"/>
  <c r="D54" i="21"/>
  <c r="H54" i="21" s="1"/>
  <c r="K54" i="21" s="1"/>
  <c r="D46" i="21"/>
  <c r="H46" i="21" s="1"/>
  <c r="I46" i="21" s="1"/>
  <c r="J46" i="21" s="1"/>
  <c r="D38" i="21"/>
  <c r="H38" i="21" s="1"/>
  <c r="I38" i="21" s="1"/>
  <c r="J38" i="21" s="1"/>
  <c r="D30" i="21"/>
  <c r="H30" i="21" s="1"/>
  <c r="D22" i="21"/>
  <c r="H22" i="21" s="1"/>
  <c r="K22" i="21" s="1"/>
  <c r="D14" i="21"/>
  <c r="H14" i="21" s="1"/>
  <c r="I14" i="21" s="1"/>
  <c r="J14" i="21" s="1"/>
  <c r="D6" i="21"/>
  <c r="H6" i="21" s="1"/>
  <c r="I6" i="21" s="1"/>
  <c r="J6" i="21" s="1"/>
  <c r="C61" i="21"/>
  <c r="D61" i="21" s="1"/>
  <c r="H61" i="21" s="1"/>
  <c r="C60" i="21"/>
  <c r="D60" i="21" s="1"/>
  <c r="H60" i="21" s="1"/>
  <c r="C59" i="21"/>
  <c r="D59" i="21" s="1"/>
  <c r="H59" i="21" s="1"/>
  <c r="C58" i="21"/>
  <c r="D58" i="21" s="1"/>
  <c r="C57" i="21"/>
  <c r="D57" i="21" s="1"/>
  <c r="H57" i="21" s="1"/>
  <c r="C56" i="21"/>
  <c r="D56" i="21" s="1"/>
  <c r="H56" i="21" s="1"/>
  <c r="C55" i="21"/>
  <c r="D55" i="21" s="1"/>
  <c r="H55" i="21" s="1"/>
  <c r="C54" i="21"/>
  <c r="C53" i="21"/>
  <c r="D53" i="21" s="1"/>
  <c r="H53" i="21" s="1"/>
  <c r="C52" i="21"/>
  <c r="D52" i="21" s="1"/>
  <c r="H52" i="21" s="1"/>
  <c r="C51" i="21"/>
  <c r="D51" i="21" s="1"/>
  <c r="H51" i="21" s="1"/>
  <c r="C50" i="21"/>
  <c r="D50" i="21" s="1"/>
  <c r="C49" i="21"/>
  <c r="D49" i="21" s="1"/>
  <c r="H49" i="21" s="1"/>
  <c r="C48" i="21"/>
  <c r="D48" i="21" s="1"/>
  <c r="H48" i="21" s="1"/>
  <c r="C47" i="21"/>
  <c r="D47" i="21" s="1"/>
  <c r="H47" i="21" s="1"/>
  <c r="C46" i="21"/>
  <c r="C45" i="21"/>
  <c r="D45" i="21" s="1"/>
  <c r="H45" i="21" s="1"/>
  <c r="C44" i="21"/>
  <c r="D44" i="21" s="1"/>
  <c r="H44" i="21" s="1"/>
  <c r="C43" i="21"/>
  <c r="D43" i="21" s="1"/>
  <c r="H43" i="21" s="1"/>
  <c r="C42" i="21"/>
  <c r="D42" i="21" s="1"/>
  <c r="H42" i="21" s="1"/>
  <c r="C41" i="21"/>
  <c r="D41" i="21" s="1"/>
  <c r="H41" i="21" s="1"/>
  <c r="C40" i="21"/>
  <c r="D40" i="21" s="1"/>
  <c r="H40" i="21" s="1"/>
  <c r="C39" i="21"/>
  <c r="D39" i="21" s="1"/>
  <c r="H39" i="21" s="1"/>
  <c r="C38" i="21"/>
  <c r="C37" i="21"/>
  <c r="D37" i="21" s="1"/>
  <c r="H37" i="21" s="1"/>
  <c r="C36" i="21"/>
  <c r="D36" i="21" s="1"/>
  <c r="H36" i="21" s="1"/>
  <c r="C35" i="21"/>
  <c r="D35" i="21" s="1"/>
  <c r="H35" i="21" s="1"/>
  <c r="C34" i="21"/>
  <c r="D34" i="21" s="1"/>
  <c r="H34" i="21" s="1"/>
  <c r="C33" i="21"/>
  <c r="D33" i="21" s="1"/>
  <c r="C32" i="21"/>
  <c r="D32" i="21" s="1"/>
  <c r="H32" i="21" s="1"/>
  <c r="C31" i="21"/>
  <c r="D31" i="21" s="1"/>
  <c r="H31" i="21" s="1"/>
  <c r="C30" i="21"/>
  <c r="C29" i="21"/>
  <c r="D29" i="21" s="1"/>
  <c r="H29" i="21" s="1"/>
  <c r="C28" i="21"/>
  <c r="D28" i="21" s="1"/>
  <c r="H28" i="21" s="1"/>
  <c r="C27" i="21"/>
  <c r="D27" i="21" s="1"/>
  <c r="H27" i="21" s="1"/>
  <c r="C26" i="21"/>
  <c r="D26" i="21" s="1"/>
  <c r="H26" i="21" s="1"/>
  <c r="C25" i="21"/>
  <c r="D25" i="21" s="1"/>
  <c r="C24" i="21"/>
  <c r="D24" i="21" s="1"/>
  <c r="H24" i="21" s="1"/>
  <c r="C23" i="21"/>
  <c r="D23" i="21" s="1"/>
  <c r="H23" i="21" s="1"/>
  <c r="C22" i="21"/>
  <c r="C21" i="21"/>
  <c r="D21" i="21" s="1"/>
  <c r="H21" i="21" s="1"/>
  <c r="C20" i="21"/>
  <c r="D20" i="21" s="1"/>
  <c r="H20" i="21" s="1"/>
  <c r="C19" i="21"/>
  <c r="D19" i="21" s="1"/>
  <c r="H19" i="21" s="1"/>
  <c r="C18" i="21"/>
  <c r="D18" i="21" s="1"/>
  <c r="H18" i="21" s="1"/>
  <c r="C17" i="21"/>
  <c r="D17" i="21" s="1"/>
  <c r="C16" i="21"/>
  <c r="D16" i="21" s="1"/>
  <c r="H16" i="21" s="1"/>
  <c r="C15" i="21"/>
  <c r="D15" i="21" s="1"/>
  <c r="H15" i="21" s="1"/>
  <c r="C14" i="21"/>
  <c r="C13" i="21"/>
  <c r="D13" i="21" s="1"/>
  <c r="H13" i="21" s="1"/>
  <c r="C12" i="21"/>
  <c r="D12" i="21" s="1"/>
  <c r="H12" i="21" s="1"/>
  <c r="C11" i="21"/>
  <c r="D11" i="21" s="1"/>
  <c r="H11" i="21" s="1"/>
  <c r="C10" i="21"/>
  <c r="D10" i="21" s="1"/>
  <c r="H10" i="21" s="1"/>
  <c r="C9" i="21"/>
  <c r="D9" i="21" s="1"/>
  <c r="C8" i="21"/>
  <c r="D8" i="21" s="1"/>
  <c r="H8" i="21" s="1"/>
  <c r="C7" i="21"/>
  <c r="D7" i="21" s="1"/>
  <c r="H7" i="21" s="1"/>
  <c r="C6" i="21"/>
  <c r="C5" i="21"/>
  <c r="D5" i="21" s="1"/>
  <c r="H5" i="21" s="1"/>
  <c r="C4" i="21"/>
  <c r="D4" i="21" s="1"/>
  <c r="H4" i="21" s="1"/>
  <c r="C3" i="21"/>
  <c r="D3" i="21" s="1"/>
  <c r="H3" i="21" s="1"/>
  <c r="C2" i="21"/>
  <c r="D2" i="21" s="1"/>
  <c r="H2" i="21" s="1"/>
  <c r="D13" i="19"/>
  <c r="D9" i="19"/>
  <c r="C39" i="19"/>
  <c r="C36" i="19"/>
  <c r="C32" i="19"/>
  <c r="C28" i="19"/>
  <c r="C24" i="19"/>
  <c r="C20" i="19"/>
  <c r="C16" i="19"/>
  <c r="C12" i="19"/>
  <c r="C8" i="19"/>
  <c r="C4" i="19"/>
  <c r="B59" i="19"/>
  <c r="B58" i="19"/>
  <c r="D58" i="19" s="1"/>
  <c r="B55" i="19"/>
  <c r="B54" i="19"/>
  <c r="D54" i="19" s="1"/>
  <c r="B51" i="19"/>
  <c r="B50" i="19"/>
  <c r="B47" i="19"/>
  <c r="B46" i="19"/>
  <c r="D46" i="19" s="1"/>
  <c r="B43" i="19"/>
  <c r="B42" i="19"/>
  <c r="D42" i="19" s="1"/>
  <c r="B38" i="19"/>
  <c r="B34" i="19"/>
  <c r="B30" i="19"/>
  <c r="B26" i="19"/>
  <c r="B22" i="19"/>
  <c r="B18" i="19"/>
  <c r="B14" i="19"/>
  <c r="D14" i="19" s="1"/>
  <c r="B10" i="19"/>
  <c r="B6" i="19"/>
  <c r="D6" i="19" s="1"/>
  <c r="C40" i="17"/>
  <c r="B40" i="19" s="1"/>
  <c r="C61" i="17"/>
  <c r="C60" i="19" s="1"/>
  <c r="C60" i="17"/>
  <c r="B60" i="19" s="1"/>
  <c r="C59" i="17"/>
  <c r="C58" i="19" s="1"/>
  <c r="C58" i="17"/>
  <c r="C57" i="19" s="1"/>
  <c r="C57" i="17"/>
  <c r="C56" i="17"/>
  <c r="B56" i="19" s="1"/>
  <c r="C55" i="17"/>
  <c r="C54" i="19" s="1"/>
  <c r="C54" i="17"/>
  <c r="C53" i="19" s="1"/>
  <c r="C53" i="17"/>
  <c r="C52" i="17"/>
  <c r="B52" i="19" s="1"/>
  <c r="C51" i="17"/>
  <c r="C50" i="19" s="1"/>
  <c r="C50" i="17"/>
  <c r="C49" i="19" s="1"/>
  <c r="C49" i="17"/>
  <c r="C48" i="17"/>
  <c r="B48" i="19" s="1"/>
  <c r="C47" i="17"/>
  <c r="C46" i="19" s="1"/>
  <c r="C46" i="17"/>
  <c r="C45" i="19" s="1"/>
  <c r="C45" i="17"/>
  <c r="B45" i="19" s="1"/>
  <c r="D45" i="19" s="1"/>
  <c r="C44" i="17"/>
  <c r="B44" i="19" s="1"/>
  <c r="C43" i="17"/>
  <c r="C42" i="19" s="1"/>
  <c r="C42" i="17"/>
  <c r="C41" i="19" s="1"/>
  <c r="C41" i="17"/>
  <c r="B41" i="19" s="1"/>
  <c r="D41" i="19" s="1"/>
  <c r="C39" i="17"/>
  <c r="C38" i="19" s="1"/>
  <c r="C38" i="17"/>
  <c r="C37" i="19" s="1"/>
  <c r="C37" i="17"/>
  <c r="B37" i="19" s="1"/>
  <c r="D37" i="19" s="1"/>
  <c r="C36" i="17"/>
  <c r="B36" i="19" s="1"/>
  <c r="D36" i="19" s="1"/>
  <c r="C35" i="17"/>
  <c r="C34" i="19" s="1"/>
  <c r="C34" i="17"/>
  <c r="C33" i="19" s="1"/>
  <c r="C33" i="17"/>
  <c r="B33" i="19" s="1"/>
  <c r="C32" i="17"/>
  <c r="B32" i="19" s="1"/>
  <c r="D32" i="19" s="1"/>
  <c r="C31" i="17"/>
  <c r="C30" i="19" s="1"/>
  <c r="C30" i="17"/>
  <c r="C29" i="19" s="1"/>
  <c r="C29" i="17"/>
  <c r="B29" i="19" s="1"/>
  <c r="C28" i="17"/>
  <c r="B28" i="19" s="1"/>
  <c r="D28" i="19" s="1"/>
  <c r="C27" i="17"/>
  <c r="C26" i="19" s="1"/>
  <c r="D26" i="19" s="1"/>
  <c r="C26" i="17"/>
  <c r="C25" i="19" s="1"/>
  <c r="C25" i="17"/>
  <c r="B25" i="19" s="1"/>
  <c r="C24" i="17"/>
  <c r="B24" i="19" s="1"/>
  <c r="D24" i="19" s="1"/>
  <c r="C23" i="17"/>
  <c r="C22" i="19" s="1"/>
  <c r="C22" i="17"/>
  <c r="C21" i="19" s="1"/>
  <c r="C21" i="17"/>
  <c r="B21" i="19" s="1"/>
  <c r="D21" i="19" s="1"/>
  <c r="C20" i="17"/>
  <c r="B20" i="19" s="1"/>
  <c r="D20" i="19" s="1"/>
  <c r="C19" i="17"/>
  <c r="C18" i="19" s="1"/>
  <c r="C18" i="17"/>
  <c r="C17" i="19" s="1"/>
  <c r="C17" i="17"/>
  <c r="B17" i="19" s="1"/>
  <c r="D17" i="19" s="1"/>
  <c r="C16" i="17"/>
  <c r="B16" i="19" s="1"/>
  <c r="D16" i="19" s="1"/>
  <c r="C15" i="17"/>
  <c r="C14" i="19" s="1"/>
  <c r="C14" i="17"/>
  <c r="C13" i="19" s="1"/>
  <c r="C13" i="17"/>
  <c r="B13" i="19" s="1"/>
  <c r="C12" i="17"/>
  <c r="B12" i="19" s="1"/>
  <c r="D12" i="19" s="1"/>
  <c r="C11" i="17"/>
  <c r="C10" i="19" s="1"/>
  <c r="C10" i="17"/>
  <c r="C9" i="19" s="1"/>
  <c r="C9" i="17"/>
  <c r="B9" i="19" s="1"/>
  <c r="C8" i="17"/>
  <c r="B8" i="19" s="1"/>
  <c r="D8" i="19" s="1"/>
  <c r="C7" i="17"/>
  <c r="C6" i="19" s="1"/>
  <c r="C6" i="17"/>
  <c r="C5" i="19" s="1"/>
  <c r="C5" i="17"/>
  <c r="B5" i="19" s="1"/>
  <c r="D5" i="19" s="1"/>
  <c r="C4" i="17"/>
  <c r="B4" i="19" s="1"/>
  <c r="D4" i="19" s="1"/>
  <c r="C3" i="17"/>
  <c r="C2" i="19" s="1"/>
  <c r="C2" i="17"/>
  <c r="B2" i="19" s="1"/>
  <c r="D2" i="19" s="1"/>
  <c r="D8" i="16"/>
  <c r="D7" i="16"/>
  <c r="D6" i="16"/>
  <c r="D5" i="16"/>
  <c r="D4" i="16"/>
  <c r="D3" i="16"/>
  <c r="D2" i="16"/>
  <c r="E6" i="15"/>
  <c r="E7" i="15" s="1"/>
  <c r="E5" i="15"/>
  <c r="E4" i="15"/>
  <c r="E3" i="15"/>
  <c r="G13" i="9"/>
  <c r="G12" i="9"/>
  <c r="G11" i="9"/>
  <c r="G10" i="9"/>
  <c r="G9" i="9"/>
  <c r="G8" i="9"/>
  <c r="G7" i="9"/>
  <c r="G6" i="9"/>
  <c r="G5" i="9"/>
  <c r="G4" i="9"/>
  <c r="G3" i="9"/>
  <c r="G2" i="9"/>
  <c r="K2" i="9" s="1"/>
  <c r="F8" i="9"/>
  <c r="F7" i="9"/>
  <c r="F4" i="9"/>
  <c r="F3" i="9"/>
  <c r="E11" i="9"/>
  <c r="D13" i="9"/>
  <c r="D12" i="9"/>
  <c r="F12" i="9" s="1"/>
  <c r="D11" i="9"/>
  <c r="F11" i="9" s="1"/>
  <c r="D10" i="9"/>
  <c r="F10" i="9" s="1"/>
  <c r="D9" i="9"/>
  <c r="D8" i="9"/>
  <c r="E8" i="9" s="1"/>
  <c r="D7" i="9"/>
  <c r="E7" i="9" s="1"/>
  <c r="D6" i="9"/>
  <c r="F6" i="9" s="1"/>
  <c r="D5" i="9"/>
  <c r="F5" i="9" s="1"/>
  <c r="D4" i="9"/>
  <c r="E4" i="9" s="1"/>
  <c r="D3" i="9"/>
  <c r="E3" i="9" s="1"/>
  <c r="D2" i="9"/>
  <c r="F2" i="9" s="1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C22" i="5"/>
  <c r="C21" i="5"/>
  <c r="C20" i="5"/>
  <c r="C19" i="5"/>
  <c r="C18" i="5"/>
  <c r="C17" i="5"/>
  <c r="C16" i="5"/>
  <c r="C15" i="5"/>
  <c r="C14" i="5"/>
  <c r="C13" i="5"/>
  <c r="C12" i="5"/>
  <c r="C11" i="5"/>
  <c r="B22" i="5"/>
  <c r="B21" i="5"/>
  <c r="B20" i="5"/>
  <c r="B19" i="5"/>
  <c r="B18" i="5"/>
  <c r="B17" i="5"/>
  <c r="B16" i="5"/>
  <c r="B15" i="5"/>
  <c r="B14" i="5"/>
  <c r="B13" i="5"/>
  <c r="B12" i="5"/>
  <c r="B11" i="5"/>
  <c r="M5" i="5"/>
  <c r="L5" i="5"/>
  <c r="K5" i="5"/>
  <c r="J5" i="5"/>
  <c r="P3" i="5"/>
  <c r="O3" i="5"/>
  <c r="N3" i="5"/>
  <c r="M3" i="5"/>
  <c r="L3" i="5"/>
  <c r="K3" i="5"/>
  <c r="J3" i="5"/>
  <c r="G3" i="5"/>
  <c r="F3" i="5"/>
  <c r="E3" i="5"/>
  <c r="A1" i="5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C7" i="3"/>
  <c r="E7" i="3" s="1"/>
  <c r="B7" i="3"/>
  <c r="C6" i="3"/>
  <c r="E6" i="3" s="1"/>
  <c r="B6" i="3"/>
  <c r="C5" i="3"/>
  <c r="E5" i="3" s="1"/>
  <c r="B5" i="3"/>
  <c r="C4" i="3"/>
  <c r="E4" i="3" s="1"/>
  <c r="B4" i="3"/>
  <c r="F2" i="3"/>
  <c r="D7" i="3" s="1"/>
  <c r="K2" i="21" l="1"/>
  <c r="I2" i="21"/>
  <c r="J2" i="21" s="1"/>
  <c r="K42" i="21"/>
  <c r="I42" i="21"/>
  <c r="J42" i="21" s="1"/>
  <c r="D4" i="3"/>
  <c r="D5" i="3"/>
  <c r="D6" i="3"/>
  <c r="F9" i="9"/>
  <c r="J2" i="9" s="1"/>
  <c r="E9" i="9"/>
  <c r="F13" i="9"/>
  <c r="E13" i="9"/>
  <c r="E5" i="9"/>
  <c r="E10" i="9"/>
  <c r="D60" i="19"/>
  <c r="B3" i="19"/>
  <c r="D3" i="19" s="1"/>
  <c r="B11" i="19"/>
  <c r="D11" i="19" s="1"/>
  <c r="B19" i="19"/>
  <c r="B27" i="19"/>
  <c r="D27" i="19" s="1"/>
  <c r="B35" i="19"/>
  <c r="D35" i="19" s="1"/>
  <c r="D43" i="19"/>
  <c r="C40" i="19"/>
  <c r="C51" i="19"/>
  <c r="D51" i="19" s="1"/>
  <c r="K3" i="21"/>
  <c r="I3" i="21"/>
  <c r="J3" i="21" s="1"/>
  <c r="K7" i="21"/>
  <c r="I7" i="21"/>
  <c r="J7" i="21" s="1"/>
  <c r="K11" i="21"/>
  <c r="I11" i="21"/>
  <c r="J11" i="21" s="1"/>
  <c r="K15" i="21"/>
  <c r="I15" i="21"/>
  <c r="J15" i="21" s="1"/>
  <c r="K19" i="21"/>
  <c r="I19" i="21"/>
  <c r="J19" i="21" s="1"/>
  <c r="K23" i="21"/>
  <c r="I23" i="21"/>
  <c r="J23" i="21" s="1"/>
  <c r="K27" i="21"/>
  <c r="I27" i="21"/>
  <c r="J27" i="21" s="1"/>
  <c r="K31" i="21"/>
  <c r="I31" i="21"/>
  <c r="J31" i="21" s="1"/>
  <c r="K35" i="21"/>
  <c r="I35" i="21"/>
  <c r="J35" i="21" s="1"/>
  <c r="K39" i="21"/>
  <c r="I39" i="21"/>
  <c r="J39" i="21" s="1"/>
  <c r="K43" i="21"/>
  <c r="I43" i="21"/>
  <c r="J43" i="21" s="1"/>
  <c r="K47" i="21"/>
  <c r="I47" i="21"/>
  <c r="J47" i="21" s="1"/>
  <c r="K51" i="21"/>
  <c r="I51" i="21"/>
  <c r="J51" i="21" s="1"/>
  <c r="K55" i="21"/>
  <c r="I55" i="21"/>
  <c r="J55" i="21" s="1"/>
  <c r="K59" i="21"/>
  <c r="I59" i="21"/>
  <c r="J59" i="21" s="1"/>
  <c r="K17" i="21"/>
  <c r="I17" i="21"/>
  <c r="J17" i="21" s="1"/>
  <c r="K50" i="21"/>
  <c r="I50" i="21"/>
  <c r="J50" i="21" s="1"/>
  <c r="E2" i="9"/>
  <c r="E6" i="9"/>
  <c r="B49" i="19"/>
  <c r="D49" i="19" s="1"/>
  <c r="C48" i="19"/>
  <c r="D48" i="19" s="1"/>
  <c r="B53" i="19"/>
  <c r="D53" i="19" s="1"/>
  <c r="C52" i="19"/>
  <c r="D52" i="19" s="1"/>
  <c r="B57" i="19"/>
  <c r="D57" i="19" s="1"/>
  <c r="C56" i="19"/>
  <c r="D56" i="19" s="1"/>
  <c r="D22" i="19"/>
  <c r="D30" i="19"/>
  <c r="D38" i="19"/>
  <c r="C3" i="19"/>
  <c r="C11" i="19"/>
  <c r="C19" i="19"/>
  <c r="C27" i="19"/>
  <c r="C35" i="19"/>
  <c r="C43" i="19"/>
  <c r="C55" i="19"/>
  <c r="D55" i="19" s="1"/>
  <c r="K4" i="21"/>
  <c r="I4" i="21"/>
  <c r="J4" i="21" s="1"/>
  <c r="K8" i="21"/>
  <c r="I8" i="21"/>
  <c r="J8" i="21" s="1"/>
  <c r="K12" i="21"/>
  <c r="I12" i="21"/>
  <c r="J12" i="21" s="1"/>
  <c r="K16" i="21"/>
  <c r="I16" i="21"/>
  <c r="J16" i="21" s="1"/>
  <c r="K20" i="21"/>
  <c r="I20" i="21"/>
  <c r="J20" i="21" s="1"/>
  <c r="K24" i="21"/>
  <c r="I24" i="21"/>
  <c r="J24" i="21" s="1"/>
  <c r="K28" i="21"/>
  <c r="I28" i="21"/>
  <c r="J28" i="21" s="1"/>
  <c r="K32" i="21"/>
  <c r="I32" i="21"/>
  <c r="J32" i="21" s="1"/>
  <c r="K36" i="21"/>
  <c r="I36" i="21"/>
  <c r="J36" i="21" s="1"/>
  <c r="K40" i="21"/>
  <c r="I40" i="21"/>
  <c r="J40" i="21" s="1"/>
  <c r="K44" i="21"/>
  <c r="I44" i="21"/>
  <c r="J44" i="21" s="1"/>
  <c r="K48" i="21"/>
  <c r="I48" i="21"/>
  <c r="J48" i="21" s="1"/>
  <c r="K52" i="21"/>
  <c r="I52" i="21"/>
  <c r="J52" i="21" s="1"/>
  <c r="K56" i="21"/>
  <c r="I56" i="21"/>
  <c r="J56" i="21" s="1"/>
  <c r="K60" i="21"/>
  <c r="I60" i="21"/>
  <c r="J60" i="21" s="1"/>
  <c r="K25" i="21"/>
  <c r="I25" i="21"/>
  <c r="J25" i="21" s="1"/>
  <c r="K58" i="21"/>
  <c r="I58" i="21"/>
  <c r="J58" i="21" s="1"/>
  <c r="E12" i="9"/>
  <c r="D25" i="19"/>
  <c r="D29" i="19"/>
  <c r="D33" i="19"/>
  <c r="D40" i="19"/>
  <c r="B7" i="19"/>
  <c r="B15" i="19"/>
  <c r="B23" i="19"/>
  <c r="B31" i="19"/>
  <c r="B39" i="19"/>
  <c r="D39" i="19" s="1"/>
  <c r="C44" i="19"/>
  <c r="D44" i="19" s="1"/>
  <c r="C59" i="19"/>
  <c r="D59" i="19" s="1"/>
  <c r="K5" i="21"/>
  <c r="I5" i="21"/>
  <c r="J5" i="21" s="1"/>
  <c r="K13" i="21"/>
  <c r="I13" i="21"/>
  <c r="J13" i="21" s="1"/>
  <c r="K21" i="21"/>
  <c r="I21" i="21"/>
  <c r="J21" i="21" s="1"/>
  <c r="K29" i="21"/>
  <c r="I29" i="21"/>
  <c r="J29" i="21" s="1"/>
  <c r="K37" i="21"/>
  <c r="I37" i="21"/>
  <c r="J37" i="21" s="1"/>
  <c r="K33" i="21"/>
  <c r="I33" i="21"/>
  <c r="J33" i="21" s="1"/>
  <c r="K14" i="21"/>
  <c r="K46" i="21"/>
  <c r="E8" i="15"/>
  <c r="E9" i="15" s="1"/>
  <c r="D10" i="19"/>
  <c r="D18" i="19"/>
  <c r="D34" i="19"/>
  <c r="D50" i="19"/>
  <c r="C7" i="19"/>
  <c r="C15" i="19"/>
  <c r="C23" i="19"/>
  <c r="C31" i="19"/>
  <c r="C47" i="19"/>
  <c r="D47" i="19" s="1"/>
  <c r="K10" i="21"/>
  <c r="I10" i="21"/>
  <c r="J10" i="21" s="1"/>
  <c r="K18" i="21"/>
  <c r="I18" i="21"/>
  <c r="J18" i="21" s="1"/>
  <c r="K26" i="21"/>
  <c r="I26" i="21"/>
  <c r="J26" i="21" s="1"/>
  <c r="K34" i="21"/>
  <c r="I34" i="21"/>
  <c r="J34" i="21" s="1"/>
  <c r="K9" i="21"/>
  <c r="I9" i="21"/>
  <c r="J9" i="21" s="1"/>
  <c r="K41" i="21"/>
  <c r="I41" i="21"/>
  <c r="J41" i="21" s="1"/>
  <c r="K45" i="21"/>
  <c r="I45" i="21"/>
  <c r="J45" i="21" s="1"/>
  <c r="K49" i="21"/>
  <c r="I49" i="21"/>
  <c r="J49" i="21" s="1"/>
  <c r="K53" i="21"/>
  <c r="I53" i="21"/>
  <c r="J53" i="21" s="1"/>
  <c r="K57" i="21"/>
  <c r="I57" i="21"/>
  <c r="J57" i="21" s="1"/>
  <c r="K61" i="21"/>
  <c r="I61" i="21"/>
  <c r="J61" i="21" s="1"/>
  <c r="D7" i="19" l="1"/>
  <c r="D31" i="19"/>
  <c r="D23" i="19"/>
  <c r="D15" i="19"/>
  <c r="D19" i="19"/>
  <c r="M2" i="21"/>
  <c r="N2" i="21"/>
</calcChain>
</file>

<file path=xl/comments1.xml><?xml version="1.0" encoding="utf-8"?>
<comments xmlns="http://schemas.openxmlformats.org/spreadsheetml/2006/main">
  <authors>
    <author>FAHMI PC</author>
  </authors>
  <commentList>
    <comment ref="B2" authorId="0" shapeId="0">
      <text>
        <r>
          <rPr>
            <sz val="9"/>
            <color indexed="81"/>
            <rFont val="Tahoma"/>
            <family val="2"/>
          </rPr>
          <t>Test Statistics (e.g Z-score)</t>
        </r>
      </text>
    </comment>
    <comment ref="C2" authorId="0" shapeId="0">
      <text>
        <r>
          <rPr>
            <sz val="9"/>
            <color indexed="81"/>
            <rFont val="Tahoma"/>
            <family val="2"/>
          </rPr>
          <t>The probability, under the null hypothesis, that test statistics (score) are at least as extreme as observed</t>
        </r>
      </text>
    </comment>
    <comment ref="D2" authorId="0" shapeId="0">
      <text>
        <r>
          <rPr>
            <sz val="9"/>
            <color indexed="81"/>
            <rFont val="Tahoma"/>
            <family val="2"/>
          </rPr>
          <t>A boundary limit of the region of all possible values for the test statistics (i.e. score) under the null hypothesis and significance level</t>
        </r>
      </text>
    </comment>
    <comment ref="E2" authorId="0" shapeId="0">
      <text>
        <r>
          <rPr>
            <sz val="9"/>
            <color indexed="81"/>
            <rFont val="Tahoma"/>
            <family val="2"/>
          </rPr>
          <t>Determines whether the sample data observations are stationary (i.e. no unit-root)</t>
        </r>
      </text>
    </comment>
    <comment ref="F2" authorId="0" shapeId="0">
      <text>
        <r>
          <rPr>
            <sz val="9"/>
            <color indexed="81"/>
            <rFont val="Tahoma"/>
            <family val="2"/>
          </rPr>
          <t>Significance level (a), a probability threshold below which the null hypothesis will be rejected</t>
        </r>
      </text>
    </comment>
  </commentList>
</comments>
</file>

<file path=xl/comments2.xml><?xml version="1.0" encoding="utf-8"?>
<comments xmlns="http://schemas.openxmlformats.org/spreadsheetml/2006/main">
  <authors>
    <author>FAHMI PC</author>
  </authors>
  <commentList>
    <comment ref="A2" authorId="0" shapeId="0">
      <text>
        <r>
          <rPr>
            <sz val="9"/>
            <color indexed="81"/>
            <rFont val="Tahoma"/>
            <family val="2"/>
          </rPr>
          <t>Lag or Backshift Order</t>
        </r>
      </text>
    </comment>
    <comment ref="B2" authorId="0" shapeId="0">
      <text>
        <r>
          <rPr>
            <sz val="9"/>
            <color indexed="81"/>
            <rFont val="Tahoma"/>
            <family val="2"/>
          </rPr>
          <t>Auto-correlation function</t>
        </r>
      </text>
    </comment>
    <comment ref="C2" authorId="0" shapeId="0">
      <text>
        <r>
          <rPr>
            <sz val="9"/>
            <color indexed="81"/>
            <rFont val="Tahoma"/>
            <family val="2"/>
          </rPr>
          <t>Upper limit of the ACF confidence interval</t>
        </r>
      </text>
    </comment>
    <comment ref="D2" authorId="0" shapeId="0">
      <text>
        <r>
          <rPr>
            <sz val="9"/>
            <color indexed="81"/>
            <rFont val="Tahoma"/>
            <family val="2"/>
          </rPr>
          <t>Lower limit of the ACF confidence interval</t>
        </r>
      </text>
    </comment>
    <comment ref="E2" authorId="0" shapeId="0">
      <text>
        <r>
          <rPr>
            <sz val="9"/>
            <color indexed="81"/>
            <rFont val="Tahoma"/>
            <family val="2"/>
          </rPr>
          <t>Partial autocorrelation function</t>
        </r>
      </text>
    </comment>
    <comment ref="F2" authorId="0" shapeId="0">
      <text>
        <r>
          <rPr>
            <sz val="9"/>
            <color indexed="81"/>
            <rFont val="Tahoma"/>
            <family val="2"/>
          </rPr>
          <t>Upper limit of the PACF confidence interval</t>
        </r>
      </text>
    </comment>
    <comment ref="G2" authorId="0" shapeId="0">
      <text>
        <r>
          <rPr>
            <sz val="9"/>
            <color indexed="81"/>
            <rFont val="Tahoma"/>
            <family val="2"/>
          </rPr>
          <t>Lower limit of the PACF confidence interval</t>
        </r>
      </text>
    </comment>
  </commentList>
</comments>
</file>

<file path=xl/comments3.xml><?xml version="1.0" encoding="utf-8"?>
<comments xmlns="http://schemas.openxmlformats.org/spreadsheetml/2006/main">
  <authors>
    <author>FAHMI PC</author>
  </authors>
  <commentList>
    <comment ref="E2" authorId="0" shapeId="0">
      <text>
        <r>
          <rPr>
            <sz val="9"/>
            <color indexed="81"/>
            <rFont val="Tahoma"/>
            <family val="2"/>
          </rPr>
          <t>Uses the log-likelihood method to measure goodness of fit</t>
        </r>
      </text>
    </comment>
    <comment ref="F2" authorId="0" shapeId="0">
      <text>
        <r>
          <rPr>
            <sz val="9"/>
            <color indexed="81"/>
            <rFont val="Tahoma"/>
            <family val="2"/>
          </rPr>
          <t>Uses the Akaike-Information Criterion (AIC) method to measure goodness of fit</t>
        </r>
      </text>
    </comment>
    <comment ref="G2" authorId="0" shapeId="0">
      <text>
        <r>
          <rPr>
            <sz val="9"/>
            <color indexed="81"/>
            <rFont val="Tahoma"/>
            <family val="2"/>
          </rPr>
          <t>Examines the values of the model's parameters for stability: stationarity, invertibility, and causality</t>
        </r>
      </text>
    </comment>
    <comment ref="J2" authorId="0" shapeId="0">
      <text>
        <r>
          <rPr>
            <sz val="9"/>
            <color indexed="81"/>
            <rFont val="Tahoma"/>
            <family val="2"/>
          </rPr>
          <t>Average</t>
        </r>
      </text>
    </comment>
    <comment ref="K2" authorId="0" shapeId="0">
      <text>
        <r>
          <rPr>
            <sz val="9"/>
            <color indexed="81"/>
            <rFont val="Tahoma"/>
            <family val="2"/>
          </rPr>
          <t>Sample standard deviation</t>
        </r>
      </text>
    </comment>
    <comment ref="L2" authorId="0" shapeId="0">
      <text>
        <r>
          <rPr>
            <sz val="9"/>
            <color indexed="81"/>
            <rFont val="Tahoma"/>
            <family val="2"/>
          </rPr>
          <t>Skewness</t>
        </r>
      </text>
    </comment>
    <comment ref="M2" authorId="0" shapeId="0">
      <text>
        <r>
          <rPr>
            <sz val="9"/>
            <color indexed="81"/>
            <rFont val="Tahoma"/>
            <family val="2"/>
          </rPr>
          <t>Excess Kurtosis (aka fat-tails)</t>
        </r>
      </text>
    </comment>
    <comment ref="N2" authorId="0" shapeId="0">
      <text>
        <r>
          <rPr>
            <sz val="9"/>
            <color indexed="81"/>
            <rFont val="Tahoma"/>
            <family val="2"/>
          </rPr>
          <t>Determines if observations are not significantly autocorrelated</t>
        </r>
      </text>
    </comment>
    <comment ref="O2" authorId="0" shapeId="0">
      <text>
        <r>
          <rPr>
            <sz val="9"/>
            <color indexed="81"/>
            <rFont val="Tahoma"/>
            <family val="2"/>
          </rPr>
          <t>Determines if observations are normaly distributed</t>
        </r>
      </text>
    </comment>
    <comment ref="P2" authorId="0" shapeId="0">
      <text>
        <r>
          <rPr>
            <sz val="9"/>
            <color indexed="81"/>
            <rFont val="Tahoma"/>
            <family val="2"/>
          </rPr>
          <t>Determines if observations exhibit a significant ARCH effect</t>
        </r>
      </text>
    </comment>
    <comment ref="B3" authorId="0" shapeId="0">
      <text>
        <r>
          <rPr>
            <sz val="9"/>
            <color indexed="81"/>
            <rFont val="Tahoma"/>
            <family val="2"/>
          </rPr>
          <t>ARMA long-run mean (mu)</t>
        </r>
      </text>
    </comment>
    <comment ref="B4" authorId="0" shapeId="0">
      <text>
        <r>
          <rPr>
            <sz val="9"/>
            <color indexed="81"/>
            <rFont val="Tahoma"/>
            <family val="2"/>
          </rPr>
          <t>1st Coefficient of the AR component</t>
        </r>
      </text>
    </comment>
    <comment ref="I4" authorId="0" shapeId="0">
      <text>
        <r>
          <rPr>
            <sz val="9"/>
            <color indexed="81"/>
            <rFont val="Tahoma"/>
            <family val="2"/>
          </rPr>
          <t>Targets the desired sample statistics value</t>
        </r>
      </text>
    </comment>
    <comment ref="B5" authorId="0" shapeId="0">
      <text>
        <r>
          <rPr>
            <sz val="9"/>
            <color indexed="81"/>
            <rFont val="Tahoma"/>
            <family val="2"/>
          </rPr>
          <t>1st Coefficient of the MA component</t>
        </r>
      </text>
    </comment>
    <comment ref="I5" authorId="0" shapeId="0">
      <text>
        <r>
          <rPr>
            <sz val="9"/>
            <color indexed="81"/>
            <rFont val="Tahoma"/>
            <family val="2"/>
          </rPr>
          <t>Determines if the calculated statistics (e.g. mean, stdev, etc.) are significantly different from the target value</t>
        </r>
      </text>
    </comment>
    <comment ref="B6" authorId="0" shapeId="0">
      <text>
        <r>
          <rPr>
            <sz val="9"/>
            <color indexed="81"/>
            <rFont val="Tahoma"/>
            <family val="2"/>
          </rPr>
          <t>Standard deviation of the residuals/innovations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>Integration order(d)</t>
        </r>
      </text>
    </comment>
  </commentList>
</comments>
</file>

<file path=xl/sharedStrings.xml><?xml version="1.0" encoding="utf-8"?>
<sst xmlns="http://schemas.openxmlformats.org/spreadsheetml/2006/main" count="288" uniqueCount="167">
  <si>
    <t>PENJUALAN</t>
  </si>
  <si>
    <t>PERIODE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</si>
  <si>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</si>
  <si>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</si>
  <si>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</si>
  <si>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</si>
  <si>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</si>
  <si>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</si>
  <si>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</si>
  <si>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</si>
  <si>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</si>
  <si>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</si>
  <si>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</si>
  <si>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</si>
  <si>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</si>
  <si>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</si>
  <si>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</si>
  <si>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</si>
  <si>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</si>
  <si>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</si>
  <si>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</si>
  <si>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</si>
  <si>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</si>
  <si>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</si>
  <si>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</si>
  <si>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</si>
  <si>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</si>
  <si>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</si>
  <si>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</si>
  <si>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</si>
  <si>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</si>
  <si>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</si>
  <si>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</si>
  <si>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</si>
  <si>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</si>
  <si>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</si>
  <si>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</si>
  <si>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</si>
  <si>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</si>
  <si>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</si>
  <si>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</si>
  <si>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</si>
  <si>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</si>
  <si>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</si>
  <si>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</si>
  <si>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</si>
  <si>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</si>
  <si>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</si>
  <si>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</si>
  <si>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</si>
  <si>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</si>
  <si>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</si>
  <si>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</si>
  <si>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</si>
  <si>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</si>
  <si>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</si>
  <si>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</si>
  <si>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</si>
  <si>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</si>
  <si>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</si>
  <si>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</si>
  <si>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</si>
  <si>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Stationary Test</t>
  </si>
  <si>
    <t>Test</t>
  </si>
  <si>
    <t>Score</t>
  </si>
  <si>
    <t>P-Value</t>
  </si>
  <si>
    <t>C.V.</t>
  </si>
  <si>
    <t>Stationary?</t>
  </si>
  <si>
    <t>ADF</t>
  </si>
  <si>
    <t>No Const</t>
  </si>
  <si>
    <t>Const-Only</t>
  </si>
  <si>
    <t>Const + Trend</t>
  </si>
  <si>
    <t>Const+Trend+Trend^2</t>
  </si>
  <si>
    <t>Correlogram Analysis</t>
  </si>
  <si>
    <t>Lag</t>
  </si>
  <si>
    <t>ACF</t>
  </si>
  <si>
    <t>UL</t>
  </si>
  <si>
    <t>LL</t>
  </si>
  <si>
    <t>PACF</t>
  </si>
  <si>
    <t>Param</t>
  </si>
  <si>
    <t>Value</t>
  </si>
  <si>
    <t>μ</t>
  </si>
  <si>
    <r>
      <t>φ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</si>
  <si>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θ</t>
    </r>
    <r>
      <rPr>
        <b/>
        <vertAlign val="subscript"/>
        <sz val="11"/>
        <color theme="1"/>
        <rFont val="Calibri"/>
        <family val="2"/>
        <scheme val="minor"/>
      </rPr>
      <t>1</t>
    </r>
  </si>
  <si>
    <t>σ</t>
  </si>
  <si>
    <t>d</t>
  </si>
  <si>
    <t>Goodness-of-fit</t>
  </si>
  <si>
    <t>LLF</t>
  </si>
  <si>
    <t>AIC</t>
  </si>
  <si>
    <t>CHECK</t>
  </si>
  <si>
    <t>Residuals (standardized) Analysis</t>
  </si>
  <si>
    <t>Target</t>
  </si>
  <si>
    <t>SIG?</t>
  </si>
  <si>
    <t>AVG</t>
  </si>
  <si>
    <t>STDEV</t>
  </si>
  <si>
    <t>Skew</t>
  </si>
  <si>
    <t>Kurtosis</t>
  </si>
  <si>
    <t>Noise?</t>
  </si>
  <si>
    <t>Normal?</t>
  </si>
  <si>
    <t>ARCH?</t>
  </si>
  <si>
    <t>Step</t>
  </si>
  <si>
    <t>Mean</t>
  </si>
  <si>
    <t>STD</t>
  </si>
  <si>
    <t>Periode</t>
  </si>
  <si>
    <t>Actual</t>
  </si>
  <si>
    <t>Forecast</t>
  </si>
  <si>
    <t>Error</t>
  </si>
  <si>
    <t>Abs Error</t>
  </si>
  <si>
    <t>Squared Error</t>
  </si>
  <si>
    <t>APE</t>
  </si>
  <si>
    <t>MSE</t>
  </si>
  <si>
    <t>MAPE</t>
  </si>
  <si>
    <t>Penjualan</t>
  </si>
  <si>
    <t>Minimum</t>
  </si>
  <si>
    <t>Maximum</t>
  </si>
  <si>
    <t>Jumlah data</t>
  </si>
  <si>
    <t>Jumlah interval</t>
  </si>
  <si>
    <t>Panjang interval</t>
  </si>
  <si>
    <t>Interval Bulat</t>
  </si>
  <si>
    <t>Fuzzy Set</t>
  </si>
  <si>
    <t>Bawah</t>
  </si>
  <si>
    <t>Atas</t>
  </si>
  <si>
    <t>A1</t>
  </si>
  <si>
    <t>A2</t>
  </si>
  <si>
    <t>A3</t>
  </si>
  <si>
    <t>A4</t>
  </si>
  <si>
    <t>A5</t>
  </si>
  <si>
    <t>A6</t>
  </si>
  <si>
    <t>A7</t>
  </si>
  <si>
    <t>Midpoint</t>
  </si>
  <si>
    <t>Fuzzy</t>
  </si>
  <si>
    <t>Current State</t>
  </si>
  <si>
    <t>Next State</t>
  </si>
  <si>
    <t>FLR</t>
  </si>
  <si>
    <t>Next State Group</t>
  </si>
  <si>
    <t>A1, A2</t>
  </si>
  <si>
    <t>A2, A3</t>
  </si>
  <si>
    <t>A3, A4</t>
  </si>
  <si>
    <t>A4, A5</t>
  </si>
  <si>
    <t>A2, A5, A6</t>
  </si>
  <si>
    <t>A2, A3, A5, A6, A7</t>
  </si>
  <si>
    <t>A3, A6, A7</t>
  </si>
  <si>
    <t>State</t>
  </si>
  <si>
    <t>FLRG</t>
  </si>
  <si>
    <t>A1,A2</t>
  </si>
  <si>
    <t>A2,A3</t>
  </si>
  <si>
    <t>A3,A4</t>
  </si>
  <si>
    <t>A4,A5</t>
  </si>
  <si>
    <t>A2,A5,A6</t>
  </si>
  <si>
    <t>A2,A3,A5,A6,A7</t>
  </si>
  <si>
    <t>A3,A6,A7</t>
  </si>
  <si>
    <t>DATA PENJUALAN</t>
  </si>
  <si>
    <t>PLOT DATA</t>
  </si>
  <si>
    <t>UJI STASIONER</t>
  </si>
  <si>
    <t>ACF &amp; PACF</t>
  </si>
  <si>
    <t>MODEL ARIMA</t>
  </si>
  <si>
    <t>FORECAST ARIMA</t>
  </si>
  <si>
    <t>EVALUASI ARIMA</t>
  </si>
  <si>
    <t>DATA FTS</t>
  </si>
  <si>
    <t>UOD</t>
  </si>
  <si>
    <t>INTERVAL</t>
  </si>
  <si>
    <t>FUZZIFIKASI</t>
  </si>
  <si>
    <t>DEFUZZIFIKASI</t>
  </si>
  <si>
    <t>FORECAST FTS</t>
  </si>
  <si>
    <t xml:space="preserve">  DASHBOARD
PERBANDINGAN ARIMA &amp; FTS LEE</t>
  </si>
  <si>
    <t>METODE ARIMA</t>
  </si>
  <si>
    <t>*Klik Tombol Untuk Bepindah Halaman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</si>
</sst>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%"/>
    <numFmt numFmtId="165" formatCode="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4.9989318521683403E-2"/>
      </left>
      <right style="thin">
        <color indexed="64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/>
    <xf numFmtId="10" fontId="0" fillId="0" borderId="0" xfId="0" applyNumberFormat="1"/>
    <xf numFmtId="0" fontId="1" fillId="0" borderId="0" xfId="0" applyFont="1" applyAlignment="1">
      <alignment horizontal="right"/>
    </xf>
    <xf numFmtId="0" fontId="0" fillId="2" borderId="0" xfId="0" applyFill="1" applyAlignment="1">
      <alignment vertical="center"/>
    </xf>
    <xf numFmtId="0" fontId="0" fillId="2" borderId="0" xfId="0" applyFill="1"/>
    <xf numFmtId="0" fontId="6" fillId="0" borderId="0" xfId="0" applyFont="1"/>
    <xf numFmtId="0" fontId="2" fillId="0" borderId="2" xfId="0" applyFont="1" applyBorder="1"/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0" fillId="0" borderId="2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7" xfId="0" applyBorder="1"/>
    <xf numFmtId="165" fontId="0" fillId="2" borderId="0" xfId="0" applyNumberForma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0" fontId="0" fillId="5" borderId="0" xfId="0" applyNumberFormat="1" applyFill="1"/>
    <xf numFmtId="0" fontId="1" fillId="3" borderId="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6" xfId="0" applyBorder="1"/>
    <xf numFmtId="0" fontId="0" fillId="6" borderId="4" xfId="0" applyFill="1" applyBorder="1"/>
    <xf numFmtId="0" fontId="0" fillId="6" borderId="5" xfId="0" applyFill="1" applyBorder="1"/>
    <xf numFmtId="0" fontId="1" fillId="5" borderId="6" xfId="0" applyFon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0" fontId="0" fillId="8" borderId="1" xfId="0" applyFill="1" applyBorder="1"/>
    <xf numFmtId="0" fontId="0" fillId="8" borderId="4" xfId="0" applyFill="1" applyBorder="1"/>
    <xf numFmtId="0" fontId="0" fillId="8" borderId="5" xfId="0" applyFill="1" applyBorder="1"/>
    <xf numFmtId="2" fontId="0" fillId="0" borderId="8" xfId="0" applyNumberFormat="1" applyBorder="1"/>
    <xf numFmtId="2" fontId="0" fillId="0" borderId="9" xfId="0" applyNumberFormat="1" applyBorder="1"/>
    <xf numFmtId="1" fontId="0" fillId="0" borderId="10" xfId="0" applyNumberFormat="1" applyBorder="1"/>
    <xf numFmtId="0" fontId="1" fillId="0" borderId="9" xfId="0" applyFont="1" applyBorder="1" applyAlignment="1"/>
    <xf numFmtId="0" fontId="1" fillId="8" borderId="1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7" borderId="6" xfId="0" applyNumberFormat="1" applyFill="1" applyBorder="1" applyAlignment="1">
      <alignment horizontal="center"/>
    </xf>
    <xf numFmtId="2" fontId="0" fillId="7" borderId="0" xfId="0" applyNumberFormat="1" applyFill="1" applyBorder="1" applyAlignment="1">
      <alignment horizontal="center"/>
    </xf>
    <xf numFmtId="2" fontId="0" fillId="7" borderId="7" xfId="0" applyNumberForma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9" xfId="0" applyFill="1" applyBorder="1"/>
    <xf numFmtId="0" fontId="0" fillId="7" borderId="10" xfId="0" applyFill="1" applyBorder="1"/>
    <xf numFmtId="0" fontId="0" fillId="8" borderId="2" xfId="0" applyFill="1" applyBorder="1"/>
    <xf numFmtId="0" fontId="0" fillId="0" borderId="2" xfId="0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8" borderId="2" xfId="0" applyFill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/>
    <xf numFmtId="0" fontId="0" fillId="0" borderId="14" xfId="0" applyBorder="1" applyAlignment="1">
      <alignment vertical="center" wrapText="1"/>
    </xf>
    <xf numFmtId="0" fontId="0" fillId="0" borderId="15" xfId="0" applyBorder="1"/>
    <xf numFmtId="0" fontId="0" fillId="8" borderId="14" xfId="0" applyFill="1" applyBorder="1" applyAlignment="1">
      <alignment vertical="center" wrapText="1"/>
    </xf>
    <xf numFmtId="0" fontId="0" fillId="8" borderId="15" xfId="0" applyFill="1" applyBorder="1"/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/>
    <xf numFmtId="0" fontId="0" fillId="0" borderId="20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 Penjualan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'PLOT DATA'!$B$1</c:f>
              <c:strCache>
                <c:ptCount val="1"/>
                <c:pt idx="0">
                  <c:v>PENJUALAN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'PLOT DATA'!$A$2:$A$61</c:f>
              <c:strCache>
                <c:ptCount val="60"/>
                <c:pt idx="0">
                  <c:v>Jan-2021</c:v>
                </c:pt>
                <c:pt idx="1">
                  <c:v>Feb-2021</c:v>
                </c:pt>
                <c:pt idx="2">
                  <c:v>Mar-2021</c:v>
                </c:pt>
                <c:pt idx="3">
                  <c:v>Apr-2021</c:v>
                </c:pt>
                <c:pt idx="4">
                  <c:v>May-2021</c:v>
                </c:pt>
                <c:pt idx="5">
                  <c:v>Jun-2021</c:v>
                </c:pt>
                <c:pt idx="6">
                  <c:v>Jul-2021</c:v>
                </c:pt>
                <c:pt idx="7">
                  <c:v>Aug-2021</c:v>
                </c:pt>
                <c:pt idx="8">
                  <c:v>Sep-2021</c:v>
                </c:pt>
                <c:pt idx="9">
                  <c:v>Oct-2021</c:v>
                </c:pt>
                <c:pt idx="10">
                  <c:v>Nov-2021</c:v>
                </c:pt>
                <c:pt idx="11">
                  <c:v>Dec-2021</c:v>
                </c:pt>
                <c:pt idx="12">
                  <c:v>Jan-2022</c:v>
                </c:pt>
                <c:pt idx="13">
                  <c:v>Feb-2022</c:v>
                </c:pt>
                <c:pt idx="14">
                  <c:v>Mar-2022</c:v>
                </c:pt>
                <c:pt idx="15">
                  <c:v>Apr-2022</c:v>
                </c:pt>
                <c:pt idx="16">
                  <c:v>May-2022</c:v>
                </c:pt>
                <c:pt idx="17">
                  <c:v>Jun-2022</c:v>
                </c:pt>
                <c:pt idx="18">
                  <c:v>Jul-2022</c:v>
                </c:pt>
                <c:pt idx="19">
                  <c:v>Aug-2022</c:v>
                </c:pt>
                <c:pt idx="20">
                  <c:v>Sep-2022</c:v>
                </c:pt>
                <c:pt idx="21">
                  <c:v>Oct-2022</c:v>
                </c:pt>
                <c:pt idx="22">
                  <c:v>Nov-2022</c:v>
                </c:pt>
                <c:pt idx="23">
                  <c:v>Dec-2022</c:v>
                </c:pt>
                <c:pt idx="24">
                  <c:v>Jan-2023</c:v>
                </c:pt>
                <c:pt idx="25">
                  <c:v>Feb-2023</c:v>
                </c:pt>
                <c:pt idx="26">
                  <c:v>Mar-2023</c:v>
                </c:pt>
                <c:pt idx="27">
                  <c:v>Apr-2023</c:v>
                </c:pt>
                <c:pt idx="28">
                  <c:v>May-2023</c:v>
                </c:pt>
                <c:pt idx="29">
                  <c:v>Jun-2023</c:v>
                </c:pt>
                <c:pt idx="30">
                  <c:v>Jul-2023</c:v>
                </c:pt>
                <c:pt idx="31">
                  <c:v>Aug-2023</c:v>
                </c:pt>
                <c:pt idx="32">
                  <c:v>Sep-2023</c:v>
                </c:pt>
                <c:pt idx="33">
                  <c:v>Oct-2023</c:v>
                </c:pt>
                <c:pt idx="34">
                  <c:v>Nov-2023</c:v>
                </c:pt>
                <c:pt idx="35">
                  <c:v>Dec-2023</c:v>
                </c:pt>
                <c:pt idx="36">
                  <c:v>Jan-2024</c:v>
                </c:pt>
                <c:pt idx="37">
                  <c:v>Feb-2024</c:v>
                </c:pt>
                <c:pt idx="38">
                  <c:v>Mar-2024</c:v>
                </c:pt>
                <c:pt idx="39">
                  <c:v>Apr-2024</c:v>
                </c:pt>
                <c:pt idx="40">
                  <c:v>May-2024</c:v>
                </c:pt>
                <c:pt idx="41">
                  <c:v>Jun-2024</c:v>
                </c:pt>
                <c:pt idx="42">
                  <c:v>Jul-2024</c:v>
                </c:pt>
                <c:pt idx="43">
                  <c:v>Aug-2024</c:v>
                </c:pt>
                <c:pt idx="44">
                  <c:v>Sep-2024</c:v>
                </c:pt>
                <c:pt idx="45">
                  <c:v>Oct-2024</c:v>
                </c:pt>
                <c:pt idx="46">
                  <c:v>Nov-2024</c:v>
                </c:pt>
                <c:pt idx="47">
                  <c:v>Dec-2024</c:v>
                </c:pt>
                <c:pt idx="48">
                  <c:v>Jan-2025</c:v>
                </c:pt>
                <c:pt idx="49">
                  <c:v>Feb-2025</c:v>
                </c:pt>
                <c:pt idx="50">
                  <c:v>Mar-2025</c:v>
                </c:pt>
                <c:pt idx="51">
                  <c:v>Apr-2025</c:v>
                </c:pt>
                <c:pt idx="52">
                  <c:v>May-2025</c:v>
                </c:pt>
                <c:pt idx="53">
                  <c:v>Jun-2025</c:v>
                </c:pt>
                <c:pt idx="54">
                  <c:v>Jul-2025</c:v>
                </c:pt>
                <c:pt idx="55">
                  <c:v>Aug-2025</c:v>
                </c:pt>
                <c:pt idx="56">
                  <c:v>Sep-2025</c:v>
                </c:pt>
                <c:pt idx="57">
                  <c:v>Oct-2025</c:v>
                </c:pt>
                <c:pt idx="58">
                  <c:v>Nov-2025</c:v>
                </c:pt>
                <c:pt idx="59">
                  <c:v>Dec-2025</c:v>
                </c:pt>
              </c:strCache>
            </c:strRef>
          </c:cat>
          <c:val>
            <c:numRef>
              <c:f>'PLOT DATA'!$B$2:$B$61</c:f>
              <c:numCache>
                <c:formatCode>General</c:formatCode>
                <c:ptCount val="60"/>
                <c:pt idx="0">
                  <c:v>11</c:v>
                </c:pt>
                <c:pt idx="1">
                  <c:v>13</c:v>
                </c:pt>
                <c:pt idx="2">
                  <c:v>12</c:v>
                </c:pt>
                <c:pt idx="3">
                  <c:v>15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19</c:v>
                </c:pt>
                <c:pt idx="9">
                  <c:v>21</c:v>
                </c:pt>
                <c:pt idx="10">
                  <c:v>20</c:v>
                </c:pt>
                <c:pt idx="11">
                  <c:v>23</c:v>
                </c:pt>
                <c:pt idx="12">
                  <c:v>14</c:v>
                </c:pt>
                <c:pt idx="13">
                  <c:v>16</c:v>
                </c:pt>
                <c:pt idx="14">
                  <c:v>15</c:v>
                </c:pt>
                <c:pt idx="15">
                  <c:v>18</c:v>
                </c:pt>
                <c:pt idx="16">
                  <c:v>17</c:v>
                </c:pt>
                <c:pt idx="17">
                  <c:v>20</c:v>
                </c:pt>
                <c:pt idx="18">
                  <c:v>22</c:v>
                </c:pt>
                <c:pt idx="19">
                  <c:v>21</c:v>
                </c:pt>
                <c:pt idx="20">
                  <c:v>24</c:v>
                </c:pt>
                <c:pt idx="21">
                  <c:v>23</c:v>
                </c:pt>
                <c:pt idx="22">
                  <c:v>25</c:v>
                </c:pt>
                <c:pt idx="23">
                  <c:v>27</c:v>
                </c:pt>
                <c:pt idx="24">
                  <c:v>16</c:v>
                </c:pt>
                <c:pt idx="25">
                  <c:v>18</c:v>
                </c:pt>
                <c:pt idx="26">
                  <c:v>17</c:v>
                </c:pt>
                <c:pt idx="27">
                  <c:v>19</c:v>
                </c:pt>
                <c:pt idx="28">
                  <c:v>21</c:v>
                </c:pt>
                <c:pt idx="29">
                  <c:v>20</c:v>
                </c:pt>
                <c:pt idx="30">
                  <c:v>23</c:v>
                </c:pt>
                <c:pt idx="31">
                  <c:v>25</c:v>
                </c:pt>
                <c:pt idx="32">
                  <c:v>24</c:v>
                </c:pt>
                <c:pt idx="33">
                  <c:v>26</c:v>
                </c:pt>
                <c:pt idx="34">
                  <c:v>28</c:v>
                </c:pt>
                <c:pt idx="35">
                  <c:v>30</c:v>
                </c:pt>
                <c:pt idx="36">
                  <c:v>18</c:v>
                </c:pt>
                <c:pt idx="37">
                  <c:v>17</c:v>
                </c:pt>
                <c:pt idx="38">
                  <c:v>20</c:v>
                </c:pt>
                <c:pt idx="39">
                  <c:v>22</c:v>
                </c:pt>
                <c:pt idx="40">
                  <c:v>21</c:v>
                </c:pt>
                <c:pt idx="41">
                  <c:v>24</c:v>
                </c:pt>
                <c:pt idx="42">
                  <c:v>26</c:v>
                </c:pt>
                <c:pt idx="43">
                  <c:v>25</c:v>
                </c:pt>
                <c:pt idx="44">
                  <c:v>27</c:v>
                </c:pt>
                <c:pt idx="45">
                  <c:v>29</c:v>
                </c:pt>
                <c:pt idx="46">
                  <c:v>30</c:v>
                </c:pt>
                <c:pt idx="47">
                  <c:v>28</c:v>
                </c:pt>
                <c:pt idx="48">
                  <c:v>19</c:v>
                </c:pt>
                <c:pt idx="49">
                  <c:v>21</c:v>
                </c:pt>
                <c:pt idx="50">
                  <c:v>20</c:v>
                </c:pt>
                <c:pt idx="51">
                  <c:v>23</c:v>
                </c:pt>
                <c:pt idx="52">
                  <c:v>25</c:v>
                </c:pt>
                <c:pt idx="53">
                  <c:v>24</c:v>
                </c:pt>
                <c:pt idx="54">
                  <c:v>27</c:v>
                </c:pt>
                <c:pt idx="55">
                  <c:v>30</c:v>
                </c:pt>
                <c:pt idx="56">
                  <c:v>28</c:v>
                </c:pt>
                <c:pt idx="57">
                  <c:v>29</c:v>
                </c:pt>
                <c:pt idx="58">
                  <c:v>27</c:v>
                </c:pt>
                <c:pt idx="59">
                  <c:v>30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235-405D-B66A-A9702F228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164360"/>
        <c:axId val="396159656"/>
      </c:lineChart>
      <c:catAx>
        <c:axId val="396164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59656"/>
        <c:crosses val="autoZero"/>
        <c:auto val="1"/>
        <c:lblAlgn val="ctr"/>
        <c:lblOffset val="100"/>
        <c:noMultiLvlLbl val="0"/>
      </c:catAx>
      <c:valAx>
        <c:axId val="39615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64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d-ID"/>
              <a:t>ACF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'ACF PACF'!$B$2</c:f>
              <c:strCache>
                <c:ptCount val="1"/>
                <c:pt idx="0">
                  <c:v>ACF</c:v>
                </c:pt>
              </c:strCache>
            </c:strRef>
          </c:tx>
          <c:invertIfNegative val="0"/>
          <c:val>
            <c:numRef>
              <c:f>'ACF PACF'!$B$3:$B$22</c:f>
              <c:numCache>
                <c:formatCode>0.00%</c:formatCode>
                <c:ptCount val="20"/>
                <c:pt idx="0">
                  <c:v>0.72060599679282589</c:v>
                </c:pt>
                <c:pt idx="1">
                  <c:v>0.55686544205294186</c:v>
                </c:pt>
                <c:pt idx="2">
                  <c:v>0.37738761299554835</c:v>
                </c:pt>
                <c:pt idx="3">
                  <c:v>0.26310377486131792</c:v>
                </c:pt>
                <c:pt idx="4">
                  <c:v>0.16547183645584718</c:v>
                </c:pt>
                <c:pt idx="5">
                  <c:v>7.4407894205586342E-2</c:v>
                </c:pt>
                <c:pt idx="6">
                  <c:v>0.1141930269106257</c:v>
                </c:pt>
                <c:pt idx="7">
                  <c:v>0.16737683855255342</c:v>
                </c:pt>
                <c:pt idx="8">
                  <c:v>0.20730934840054902</c:v>
                </c:pt>
                <c:pt idx="9">
                  <c:v>0.36191954469020821</c:v>
                </c:pt>
                <c:pt idx="10">
                  <c:v>0.4664005440919658</c:v>
                </c:pt>
                <c:pt idx="11">
                  <c:v>0.62582994940135639</c:v>
                </c:pt>
                <c:pt idx="12">
                  <c:v>0.43985389285592091</c:v>
                </c:pt>
                <c:pt idx="13">
                  <c:v>0.29748817752558621</c:v>
                </c:pt>
                <c:pt idx="14">
                  <c:v>0.14843585783350555</c:v>
                </c:pt>
                <c:pt idx="15">
                  <c:v>7.4233931825725311E-2</c:v>
                </c:pt>
                <c:pt idx="16">
                  <c:v>2.0798482210003629E-2</c:v>
                </c:pt>
                <c:pt idx="17">
                  <c:v>-4.1748836318054518E-2</c:v>
                </c:pt>
                <c:pt idx="18">
                  <c:v>-1.4694085803463448E-2</c:v>
                </c:pt>
                <c:pt idx="19">
                  <c:v>4.0036003600360033E-2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F36C-4C15-9C95-D772C973E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6160048"/>
        <c:axId val="396161616"/>
      </c:barChart>
      <c:lineChart>
        <c:grouping val="standard"/>
        <c:varyColors val="0"/>
        <c:ser>
          <c:idx val="1"/>
          <c:order val="1"/>
          <c:tx>
            <c:v>UL</c:v>
          </c:tx>
          <c:marker>
            <c:symbol val="none"/>
          </c:marker>
          <c:val>
            <c:numRef>
              <c:f>'ACF PACF'!$C$3:$C$22</c:f>
              <c:numCache>
                <c:formatCode>0.00%</c:formatCode>
                <c:ptCount val="20"/>
                <c:pt idx="0">
                  <c:v>0.25303026237633192</c:v>
                </c:pt>
                <c:pt idx="1">
                  <c:v>0.36127068644743832</c:v>
                </c:pt>
                <c:pt idx="2">
                  <c:v>0.41258244705445285</c:v>
                </c:pt>
                <c:pt idx="3">
                  <c:v>0.43412111412688997</c:v>
                </c:pt>
                <c:pt idx="4">
                  <c:v>0.44421293117556943</c:v>
                </c:pt>
                <c:pt idx="5">
                  <c:v>0.44814196250101218</c:v>
                </c:pt>
                <c:pt idx="6">
                  <c:v>0.44893224903706808</c:v>
                </c:pt>
                <c:pt idx="7">
                  <c:v>0.4507881147446931</c:v>
                </c:pt>
                <c:pt idx="8">
                  <c:v>0.45474960964193745</c:v>
                </c:pt>
                <c:pt idx="9">
                  <c:v>0.46076064781516202</c:v>
                </c:pt>
                <c:pt idx="10">
                  <c:v>0.47861562964472848</c:v>
                </c:pt>
                <c:pt idx="11">
                  <c:v>0.50687993713198831</c:v>
                </c:pt>
                <c:pt idx="12">
                  <c:v>0.55414726948891302</c:v>
                </c:pt>
                <c:pt idx="13">
                  <c:v>0.57606679257772375</c:v>
                </c:pt>
                <c:pt idx="14">
                  <c:v>0.58582006846124524</c:v>
                </c:pt>
                <c:pt idx="15">
                  <c:v>0.5882231499409184</c:v>
                </c:pt>
                <c:pt idx="16">
                  <c:v>0.58882264622315983</c:v>
                </c:pt>
                <c:pt idx="17">
                  <c:v>0.58886967962247849</c:v>
                </c:pt>
                <c:pt idx="18">
                  <c:v>0.58905915144170184</c:v>
                </c:pt>
                <c:pt idx="19">
                  <c:v>0.5890826187088043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F36C-4C15-9C95-D772C973E474}"/>
            </c:ext>
          </c:extLst>
        </c:ser>
        <c:ser>
          <c:idx val="2"/>
          <c:order val="2"/>
          <c:tx>
            <c:v>LL</c:v>
          </c:tx>
          <c:marker>
            <c:symbol val="none"/>
          </c:marker>
          <c:val>
            <c:numRef>
              <c:f>'ACF PACF'!$D$3:$D$22</c:f>
              <c:numCache>
                <c:formatCode>0.00%</c:formatCode>
                <c:ptCount val="20"/>
                <c:pt idx="0">
                  <c:v>-0.25303026237633192</c:v>
                </c:pt>
                <c:pt idx="1">
                  <c:v>-0.36127068644743832</c:v>
                </c:pt>
                <c:pt idx="2">
                  <c:v>-0.41258244705445285</c:v>
                </c:pt>
                <c:pt idx="3">
                  <c:v>-0.43412111412688997</c:v>
                </c:pt>
                <c:pt idx="4">
                  <c:v>-0.44421293117556943</c:v>
                </c:pt>
                <c:pt idx="5">
                  <c:v>-0.44814196250101218</c:v>
                </c:pt>
                <c:pt idx="6">
                  <c:v>-0.44893224903706808</c:v>
                </c:pt>
                <c:pt idx="7">
                  <c:v>-0.4507881147446931</c:v>
                </c:pt>
                <c:pt idx="8">
                  <c:v>-0.45474960964193745</c:v>
                </c:pt>
                <c:pt idx="9">
                  <c:v>-0.46076064781516202</c:v>
                </c:pt>
                <c:pt idx="10">
                  <c:v>-0.47861562964472848</c:v>
                </c:pt>
                <c:pt idx="11">
                  <c:v>-0.50687993713198831</c:v>
                </c:pt>
                <c:pt idx="12">
                  <c:v>-0.55414726948891302</c:v>
                </c:pt>
                <c:pt idx="13">
                  <c:v>-0.57606679257772375</c:v>
                </c:pt>
                <c:pt idx="14">
                  <c:v>-0.58582006846124524</c:v>
                </c:pt>
                <c:pt idx="15">
                  <c:v>-0.5882231499409184</c:v>
                </c:pt>
                <c:pt idx="16">
                  <c:v>-0.58882264622315983</c:v>
                </c:pt>
                <c:pt idx="17">
                  <c:v>-0.58886967962247849</c:v>
                </c:pt>
                <c:pt idx="18">
                  <c:v>-0.58905915144170184</c:v>
                </c:pt>
                <c:pt idx="19">
                  <c:v>-0.5890826187088043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F36C-4C15-9C95-D772C973E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160048"/>
        <c:axId val="396161616"/>
      </c:lineChart>
      <c:catAx>
        <c:axId val="396160048"/>
        <c:scaling>
          <c:orientation val="minMax"/>
        </c:scaling>
        <c:delete val="0"/>
        <c:axPos val="b"/>
        <c:majorTickMark val="out"/>
        <c:minorTickMark val="none"/>
        <c:tickLblPos val="nextTo"/>
        <c:crossAx val="396161616"/>
        <c:crosses val="autoZero"/>
        <c:auto val="1"/>
        <c:lblAlgn val="ctr"/>
        <c:lblOffset val="100"/>
        <c:noMultiLvlLbl val="0"/>
      </c:catAx>
      <c:valAx>
        <c:axId val="39616161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96160048"/>
        <c:crosses val="autoZero"/>
        <c:crossBetween val="between"/>
      </c:valAx>
      <c:spPr>
        <a:noFill/>
        <a:ln w="25400">
          <a:noFill/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r"/>
      <c:layout/>
      <c:overlay val="0"/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6350">
      <a:noFill/>
    </a:ln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d-ID"/>
              <a:t>PACF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'ACF PACF'!$E$2</c:f>
              <c:strCache>
                <c:ptCount val="1"/>
                <c:pt idx="0">
                  <c:v>PACF</c:v>
                </c:pt>
              </c:strCache>
            </c:strRef>
          </c:tx>
          <c:invertIfNegative val="0"/>
          <c:val>
            <c:numRef>
              <c:f>'ACF PACF'!$E$3:$E$22</c:f>
              <c:numCache>
                <c:formatCode>0.00%</c:formatCode>
                <c:ptCount val="20"/>
                <c:pt idx="0">
                  <c:v>0.72060599679282589</c:v>
                </c:pt>
                <c:pt idx="1">
                  <c:v>7.8199143471357341E-2</c:v>
                </c:pt>
                <c:pt idx="2">
                  <c:v>-0.10227132071290809</c:v>
                </c:pt>
                <c:pt idx="3">
                  <c:v>3.6477037531557166E-3</c:v>
                </c:pt>
                <c:pt idx="4">
                  <c:v>-2.2754555998870309E-2</c:v>
                </c:pt>
                <c:pt idx="5">
                  <c:v>-6.4489250594143968E-2</c:v>
                </c:pt>
                <c:pt idx="6">
                  <c:v>0.19783299524916109</c:v>
                </c:pt>
                <c:pt idx="7">
                  <c:v>0.12136198508893505</c:v>
                </c:pt>
                <c:pt idx="8">
                  <c:v>1.6172165874892935E-2</c:v>
                </c:pt>
                <c:pt idx="9">
                  <c:v>0.33000877629349878</c:v>
                </c:pt>
                <c:pt idx="10">
                  <c:v>0.16738467472749108</c:v>
                </c:pt>
                <c:pt idx="11">
                  <c:v>0.30191209117528262</c:v>
                </c:pt>
                <c:pt idx="12">
                  <c:v>-0.44606621121351647</c:v>
                </c:pt>
                <c:pt idx="13">
                  <c:v>-0.16911281669093056</c:v>
                </c:pt>
                <c:pt idx="14">
                  <c:v>-0.10232832882492708</c:v>
                </c:pt>
                <c:pt idx="15">
                  <c:v>0.13111430976304556</c:v>
                </c:pt>
                <c:pt idx="16">
                  <c:v>8.3962777193625771E-2</c:v>
                </c:pt>
                <c:pt idx="17">
                  <c:v>-1.3711091854190746E-2</c:v>
                </c:pt>
                <c:pt idx="18">
                  <c:v>-4.1346795696211532E-2</c:v>
                </c:pt>
                <c:pt idx="19">
                  <c:v>-7.3916854324246762E-3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1838-45E4-A432-7D5580C6B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6160440"/>
        <c:axId val="396162008"/>
      </c:barChart>
      <c:lineChart>
        <c:grouping val="standard"/>
        <c:varyColors val="0"/>
        <c:ser>
          <c:idx val="1"/>
          <c:order val="1"/>
          <c:tx>
            <c:v>UL</c:v>
          </c:tx>
          <c:marker>
            <c:symbol val="none"/>
          </c:marker>
          <c:val>
            <c:numRef>
              <c:f>'ACF PACF'!$F$3:$F$22</c:f>
              <c:numCache>
                <c:formatCode>0.00%</c:formatCode>
                <c:ptCount val="20"/>
                <c:pt idx="0">
                  <c:v>0.25303026237633192</c:v>
                </c:pt>
                <c:pt idx="1">
                  <c:v>0.25303026237633192</c:v>
                </c:pt>
                <c:pt idx="2">
                  <c:v>0.25303026237633192</c:v>
                </c:pt>
                <c:pt idx="3">
                  <c:v>0.25303026237633192</c:v>
                </c:pt>
                <c:pt idx="4">
                  <c:v>0.25303026237633192</c:v>
                </c:pt>
                <c:pt idx="5">
                  <c:v>0.25303026237633192</c:v>
                </c:pt>
                <c:pt idx="6">
                  <c:v>0.25303026237633192</c:v>
                </c:pt>
                <c:pt idx="7">
                  <c:v>0.25303026237633192</c:v>
                </c:pt>
                <c:pt idx="8">
                  <c:v>0.25303026237633192</c:v>
                </c:pt>
                <c:pt idx="9">
                  <c:v>0.25303026237633192</c:v>
                </c:pt>
                <c:pt idx="10">
                  <c:v>0.25303026237633192</c:v>
                </c:pt>
                <c:pt idx="11">
                  <c:v>0.25303026237633192</c:v>
                </c:pt>
                <c:pt idx="12">
                  <c:v>0.25303026237633192</c:v>
                </c:pt>
                <c:pt idx="13">
                  <c:v>0.25303026237633192</c:v>
                </c:pt>
                <c:pt idx="14">
                  <c:v>0.25303026237633192</c:v>
                </c:pt>
                <c:pt idx="15">
                  <c:v>0.25303026237633192</c:v>
                </c:pt>
                <c:pt idx="16">
                  <c:v>0.25303026237633192</c:v>
                </c:pt>
                <c:pt idx="17">
                  <c:v>0.25303026237633192</c:v>
                </c:pt>
                <c:pt idx="18">
                  <c:v>0.25303026237633192</c:v>
                </c:pt>
                <c:pt idx="19">
                  <c:v>0.25303026237633192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1838-45E4-A432-7D5580C6B7D5}"/>
            </c:ext>
          </c:extLst>
        </c:ser>
        <c:ser>
          <c:idx val="2"/>
          <c:order val="2"/>
          <c:tx>
            <c:v>LL</c:v>
          </c:tx>
          <c:marker>
            <c:symbol val="none"/>
          </c:marker>
          <c:val>
            <c:numRef>
              <c:f>'ACF PACF'!$G$3:$G$22</c:f>
              <c:numCache>
                <c:formatCode>0.00%</c:formatCode>
                <c:ptCount val="20"/>
                <c:pt idx="0">
                  <c:v>-0.25303026237633192</c:v>
                </c:pt>
                <c:pt idx="1">
                  <c:v>-0.25303026237633192</c:v>
                </c:pt>
                <c:pt idx="2">
                  <c:v>-0.25303026237633192</c:v>
                </c:pt>
                <c:pt idx="3">
                  <c:v>-0.25303026237633192</c:v>
                </c:pt>
                <c:pt idx="4">
                  <c:v>-0.25303026237633192</c:v>
                </c:pt>
                <c:pt idx="5">
                  <c:v>-0.25303026237633192</c:v>
                </c:pt>
                <c:pt idx="6">
                  <c:v>-0.25303026237633192</c:v>
                </c:pt>
                <c:pt idx="7">
                  <c:v>-0.25303026237633192</c:v>
                </c:pt>
                <c:pt idx="8">
                  <c:v>-0.25303026237633192</c:v>
                </c:pt>
                <c:pt idx="9">
                  <c:v>-0.25303026237633192</c:v>
                </c:pt>
                <c:pt idx="10">
                  <c:v>-0.25303026237633192</c:v>
                </c:pt>
                <c:pt idx="11">
                  <c:v>-0.25303026237633192</c:v>
                </c:pt>
                <c:pt idx="12">
                  <c:v>-0.25303026237633192</c:v>
                </c:pt>
                <c:pt idx="13">
                  <c:v>-0.25303026237633192</c:v>
                </c:pt>
                <c:pt idx="14">
                  <c:v>-0.25303026237633192</c:v>
                </c:pt>
                <c:pt idx="15">
                  <c:v>-0.25303026237633192</c:v>
                </c:pt>
                <c:pt idx="16">
                  <c:v>-0.25303026237633192</c:v>
                </c:pt>
                <c:pt idx="17">
                  <c:v>-0.25303026237633192</c:v>
                </c:pt>
                <c:pt idx="18">
                  <c:v>-0.25303026237633192</c:v>
                </c:pt>
                <c:pt idx="19">
                  <c:v>-0.25303026237633192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1838-45E4-A432-7D5580C6B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160440"/>
        <c:axId val="396162008"/>
      </c:lineChart>
      <c:catAx>
        <c:axId val="396160440"/>
        <c:scaling>
          <c:orientation val="minMax"/>
        </c:scaling>
        <c:delete val="0"/>
        <c:axPos val="b"/>
        <c:majorTickMark val="out"/>
        <c:minorTickMark val="none"/>
        <c:tickLblPos val="nextTo"/>
        <c:crossAx val="396162008"/>
        <c:crosses val="autoZero"/>
        <c:auto val="1"/>
        <c:lblAlgn val="ctr"/>
        <c:lblOffset val="100"/>
        <c:noMultiLvlLbl val="0"/>
      </c:catAx>
      <c:valAx>
        <c:axId val="396162008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96160440"/>
        <c:crosses val="autoZero"/>
        <c:crossBetween val="between"/>
      </c:valAx>
      <c:spPr>
        <a:noFill/>
        <a:ln w="25400">
          <a:noFill/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r"/>
      <c:layout/>
      <c:overlay val="0"/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6350">
      <a:noFill/>
    </a:ln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DATA FTS'!A1"/><Relationship Id="rId13" Type="http://schemas.openxmlformats.org/officeDocument/2006/relationships/hyperlink" Target="#FLRG!A1"/><Relationship Id="rId3" Type="http://schemas.openxmlformats.org/officeDocument/2006/relationships/hyperlink" Target="#'STATIONARY TEST'!A1"/><Relationship Id="rId7" Type="http://schemas.openxmlformats.org/officeDocument/2006/relationships/hyperlink" Target="#EVALUASI!A1"/><Relationship Id="rId12" Type="http://schemas.openxmlformats.org/officeDocument/2006/relationships/hyperlink" Target="#FLR!A1"/><Relationship Id="rId2" Type="http://schemas.openxmlformats.org/officeDocument/2006/relationships/hyperlink" Target="#'PLOT DATA'!A1"/><Relationship Id="rId1" Type="http://schemas.openxmlformats.org/officeDocument/2006/relationships/hyperlink" Target="#DATA!A1"/><Relationship Id="rId6" Type="http://schemas.openxmlformats.org/officeDocument/2006/relationships/hyperlink" Target="#FORECAST!A1"/><Relationship Id="rId11" Type="http://schemas.openxmlformats.org/officeDocument/2006/relationships/hyperlink" Target="#FUZZIFIKASI!A1"/><Relationship Id="rId5" Type="http://schemas.openxmlformats.org/officeDocument/2006/relationships/hyperlink" Target="#'ARIMA 101'!A1"/><Relationship Id="rId15" Type="http://schemas.openxmlformats.org/officeDocument/2006/relationships/hyperlink" Target="#'FORECAST FTS'!A1"/><Relationship Id="rId10" Type="http://schemas.openxmlformats.org/officeDocument/2006/relationships/hyperlink" Target="#INTERVAL!A1"/><Relationship Id="rId4" Type="http://schemas.openxmlformats.org/officeDocument/2006/relationships/hyperlink" Target="#'ACF PACF'!A1"/><Relationship Id="rId9" Type="http://schemas.openxmlformats.org/officeDocument/2006/relationships/hyperlink" Target="#UOD!A1"/><Relationship Id="rId14" Type="http://schemas.openxmlformats.org/officeDocument/2006/relationships/hyperlink" Target="#DEFUZZIFIKASI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450850</xdr:colOff>
      <xdr:row>4</xdr:row>
      <xdr:rowOff>0</xdr:rowOff>
    </xdr:from>
    <xdr:to>
      <xdr:col>1</xdr:col>
      <xdr:colOff>1327150</xdr:colOff>
      <xdr:row>4</xdr:row>
      <xdr:rowOff>184150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19CA3BD-81FD-BDF5-15BC-E15990425C24}"/>
            </a:ext>
          </a:extLst>
        </xdr:cNvPr>
        <xdr:cNvSpPr/>
      </xdr:nvSpPr>
      <xdr:spPr>
        <a:xfrm>
          <a:off x="1543050" y="806450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DATA</a:t>
          </a:r>
          <a:r>
            <a:rPr lang="en-US" sz="700" baseline="0"/>
            <a:t> PENJUALAN</a:t>
          </a:r>
          <a:endParaRPr lang="id-ID" sz="700"/>
        </a:p>
      </xdr:txBody>
    </xdr:sp>
    <xdr:clientData/>
  </xdr:twoCellAnchor>
  <xdr:twoCellAnchor>
    <xdr:from>
      <xdr:col>1</xdr:col>
      <xdr:colOff>448223</xdr:colOff>
      <xdr:row>5</xdr:row>
      <xdr:rowOff>31313</xdr:rowOff>
    </xdr:from>
    <xdr:to>
      <xdr:col>1</xdr:col>
      <xdr:colOff>1324523</xdr:colOff>
      <xdr:row>5</xdr:row>
      <xdr:rowOff>215463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50BDA701-BBB4-4E01-B492-B979148A57FB}"/>
            </a:ext>
          </a:extLst>
        </xdr:cNvPr>
        <xdr:cNvSpPr/>
      </xdr:nvSpPr>
      <xdr:spPr>
        <a:xfrm>
          <a:off x="1538671" y="1091106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PLOT DATA</a:t>
          </a:r>
          <a:endParaRPr lang="id-ID" sz="700"/>
        </a:p>
      </xdr:txBody>
    </xdr:sp>
    <xdr:clientData/>
  </xdr:twoCellAnchor>
  <xdr:twoCellAnchor>
    <xdr:from>
      <xdr:col>1</xdr:col>
      <xdr:colOff>438588</xdr:colOff>
      <xdr:row>6</xdr:row>
      <xdr:rowOff>39196</xdr:rowOff>
    </xdr:from>
    <xdr:to>
      <xdr:col>1</xdr:col>
      <xdr:colOff>1314888</xdr:colOff>
      <xdr:row>6</xdr:row>
      <xdr:rowOff>223346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7C0E02F-8F7D-4CC7-9DDD-AF7C866CFCA4}"/>
            </a:ext>
          </a:extLst>
        </xdr:cNvPr>
        <xdr:cNvSpPr/>
      </xdr:nvSpPr>
      <xdr:spPr>
        <a:xfrm>
          <a:off x="1529036" y="1352989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UJI STASIONER</a:t>
          </a:r>
          <a:endParaRPr lang="id-ID" sz="700"/>
        </a:p>
      </xdr:txBody>
    </xdr:sp>
    <xdr:clientData/>
  </xdr:twoCellAnchor>
  <xdr:twoCellAnchor>
    <xdr:from>
      <xdr:col>1</xdr:col>
      <xdr:colOff>437931</xdr:colOff>
      <xdr:row>7</xdr:row>
      <xdr:rowOff>52551</xdr:rowOff>
    </xdr:from>
    <xdr:to>
      <xdr:col>1</xdr:col>
      <xdr:colOff>1314231</xdr:colOff>
      <xdr:row>7</xdr:row>
      <xdr:rowOff>236701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5018E9AD-3A5E-4C51-9B91-134A16113E69}"/>
            </a:ext>
          </a:extLst>
        </xdr:cNvPr>
        <xdr:cNvSpPr/>
      </xdr:nvSpPr>
      <xdr:spPr>
        <a:xfrm>
          <a:off x="1528379" y="1620344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ACF &amp;</a:t>
          </a:r>
          <a:r>
            <a:rPr lang="en-US" sz="700" baseline="0"/>
            <a:t> PCF</a:t>
          </a:r>
          <a:endParaRPr lang="id-ID" sz="700"/>
        </a:p>
      </xdr:txBody>
    </xdr:sp>
    <xdr:clientData/>
  </xdr:twoCellAnchor>
  <xdr:twoCellAnchor>
    <xdr:from>
      <xdr:col>1</xdr:col>
      <xdr:colOff>432676</xdr:colOff>
      <xdr:row>8</xdr:row>
      <xdr:rowOff>38538</xdr:rowOff>
    </xdr:from>
    <xdr:to>
      <xdr:col>1</xdr:col>
      <xdr:colOff>1308976</xdr:colOff>
      <xdr:row>8</xdr:row>
      <xdr:rowOff>222688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7D309141-5FA1-4CC1-994B-557174391F41}"/>
            </a:ext>
          </a:extLst>
        </xdr:cNvPr>
        <xdr:cNvSpPr/>
      </xdr:nvSpPr>
      <xdr:spPr>
        <a:xfrm>
          <a:off x="1523124" y="1860331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MODEL ARIMA</a:t>
          </a:r>
          <a:endParaRPr lang="id-ID" sz="700"/>
        </a:p>
      </xdr:txBody>
    </xdr:sp>
    <xdr:clientData/>
  </xdr:twoCellAnchor>
  <xdr:twoCellAnchor>
    <xdr:from>
      <xdr:col>1</xdr:col>
      <xdr:colOff>427420</xdr:colOff>
      <xdr:row>9</xdr:row>
      <xdr:rowOff>28903</xdr:rowOff>
    </xdr:from>
    <xdr:to>
      <xdr:col>1</xdr:col>
      <xdr:colOff>1303720</xdr:colOff>
      <xdr:row>9</xdr:row>
      <xdr:rowOff>213053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15CB342D-9197-4835-BF8A-61BCAB703A70}"/>
            </a:ext>
          </a:extLst>
        </xdr:cNvPr>
        <xdr:cNvSpPr/>
      </xdr:nvSpPr>
      <xdr:spPr>
        <a:xfrm>
          <a:off x="1517868" y="2104696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FORECAST ARIMA</a:t>
          </a:r>
          <a:endParaRPr lang="id-ID" sz="700"/>
        </a:p>
      </xdr:txBody>
    </xdr:sp>
    <xdr:clientData/>
  </xdr:twoCellAnchor>
  <xdr:twoCellAnchor>
    <xdr:from>
      <xdr:col>1</xdr:col>
      <xdr:colOff>430925</xdr:colOff>
      <xdr:row>10</xdr:row>
      <xdr:rowOff>54303</xdr:rowOff>
    </xdr:from>
    <xdr:to>
      <xdr:col>1</xdr:col>
      <xdr:colOff>1307225</xdr:colOff>
      <xdr:row>10</xdr:row>
      <xdr:rowOff>238453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BA225523-A5A8-4189-B0E2-CAD9FFA1C89A}"/>
            </a:ext>
          </a:extLst>
        </xdr:cNvPr>
        <xdr:cNvSpPr/>
      </xdr:nvSpPr>
      <xdr:spPr>
        <a:xfrm>
          <a:off x="1521373" y="2384096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EVALUASI ARIMA</a:t>
          </a:r>
          <a:endParaRPr lang="id-ID" sz="700"/>
        </a:p>
      </xdr:txBody>
    </xdr:sp>
    <xdr:clientData/>
  </xdr:twoCellAnchor>
  <xdr:twoCellAnchor>
    <xdr:from>
      <xdr:col>4</xdr:col>
      <xdr:colOff>336988</xdr:colOff>
      <xdr:row>4</xdr:row>
      <xdr:rowOff>61967</xdr:rowOff>
    </xdr:from>
    <xdr:to>
      <xdr:col>5</xdr:col>
      <xdr:colOff>604564</xdr:colOff>
      <xdr:row>4</xdr:row>
      <xdr:rowOff>246117</xdr:rowOff>
    </xdr:to>
    <xdr:sp macro="" textlink="">
      <xdr:nvSpPr>
        <xdr:cNvPr id="12" name="Rectangle: Rounded Corner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1D6378E-F509-44C2-B081-BA84AE489B74}"/>
            </a:ext>
          </a:extLst>
        </xdr:cNvPr>
        <xdr:cNvSpPr/>
      </xdr:nvSpPr>
      <xdr:spPr>
        <a:xfrm>
          <a:off x="4558643" y="867760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DATA</a:t>
          </a:r>
          <a:r>
            <a:rPr lang="en-US" sz="700" baseline="0"/>
            <a:t> FTS</a:t>
          </a:r>
          <a:endParaRPr lang="id-ID" sz="700"/>
        </a:p>
      </xdr:txBody>
    </xdr:sp>
    <xdr:clientData/>
  </xdr:twoCellAnchor>
  <xdr:twoCellAnchor>
    <xdr:from>
      <xdr:col>4</xdr:col>
      <xdr:colOff>351878</xdr:colOff>
      <xdr:row>5</xdr:row>
      <xdr:rowOff>31969</xdr:rowOff>
    </xdr:from>
    <xdr:to>
      <xdr:col>6</xdr:col>
      <xdr:colOff>10730</xdr:colOff>
      <xdr:row>5</xdr:row>
      <xdr:rowOff>216119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313406FB-DC89-474B-BF80-E56AEFD74585}"/>
            </a:ext>
          </a:extLst>
        </xdr:cNvPr>
        <xdr:cNvSpPr/>
      </xdr:nvSpPr>
      <xdr:spPr>
        <a:xfrm>
          <a:off x="4573533" y="1091762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UOD</a:t>
          </a:r>
          <a:endParaRPr lang="id-ID" sz="700"/>
        </a:p>
      </xdr:txBody>
    </xdr:sp>
    <xdr:clientData/>
  </xdr:twoCellAnchor>
  <xdr:twoCellAnchor>
    <xdr:from>
      <xdr:col>4</xdr:col>
      <xdr:colOff>342243</xdr:colOff>
      <xdr:row>6</xdr:row>
      <xdr:rowOff>39852</xdr:rowOff>
    </xdr:from>
    <xdr:to>
      <xdr:col>6</xdr:col>
      <xdr:colOff>1095</xdr:colOff>
      <xdr:row>6</xdr:row>
      <xdr:rowOff>224002</xdr:rowOff>
    </xdr:to>
    <xdr:sp macro="" textlink="">
      <xdr:nvSpPr>
        <xdr:cNvPr id="14" name="Rectangle: Rounded Corner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9761EB93-3EA4-4477-A206-77AF4BE74BA8}"/>
            </a:ext>
          </a:extLst>
        </xdr:cNvPr>
        <xdr:cNvSpPr/>
      </xdr:nvSpPr>
      <xdr:spPr>
        <a:xfrm>
          <a:off x="4563898" y="1353645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INTERVAL</a:t>
          </a:r>
          <a:endParaRPr lang="id-ID" sz="700"/>
        </a:p>
      </xdr:txBody>
    </xdr:sp>
    <xdr:clientData/>
  </xdr:twoCellAnchor>
  <xdr:twoCellAnchor>
    <xdr:from>
      <xdr:col>4</xdr:col>
      <xdr:colOff>341586</xdr:colOff>
      <xdr:row>7</xdr:row>
      <xdr:rowOff>53207</xdr:rowOff>
    </xdr:from>
    <xdr:to>
      <xdr:col>6</xdr:col>
      <xdr:colOff>438</xdr:colOff>
      <xdr:row>7</xdr:row>
      <xdr:rowOff>237357</xdr:rowOff>
    </xdr:to>
    <xdr:sp macro="" textlink="">
      <xdr:nvSpPr>
        <xdr:cNvPr id="15" name="Rectangle: Rounded Corner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C9CB8667-F790-45CF-B3B9-296B19862735}"/>
            </a:ext>
          </a:extLst>
        </xdr:cNvPr>
        <xdr:cNvSpPr/>
      </xdr:nvSpPr>
      <xdr:spPr>
        <a:xfrm>
          <a:off x="4563241" y="1621000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FUZZIFIKASI</a:t>
          </a:r>
          <a:endParaRPr lang="id-ID" sz="700"/>
        </a:p>
      </xdr:txBody>
    </xdr:sp>
    <xdr:clientData/>
  </xdr:twoCellAnchor>
  <xdr:twoCellAnchor>
    <xdr:from>
      <xdr:col>4</xdr:col>
      <xdr:colOff>336331</xdr:colOff>
      <xdr:row>8</xdr:row>
      <xdr:rowOff>39194</xdr:rowOff>
    </xdr:from>
    <xdr:to>
      <xdr:col>5</xdr:col>
      <xdr:colOff>603907</xdr:colOff>
      <xdr:row>8</xdr:row>
      <xdr:rowOff>223344</xdr:rowOff>
    </xdr:to>
    <xdr:sp macro="" textlink="">
      <xdr:nvSpPr>
        <xdr:cNvPr id="16" name="Rectangle: Rounded Corner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F76A88DD-5F07-4BBE-BBF8-331F1F970FD1}"/>
            </a:ext>
          </a:extLst>
        </xdr:cNvPr>
        <xdr:cNvSpPr/>
      </xdr:nvSpPr>
      <xdr:spPr>
        <a:xfrm>
          <a:off x="4557986" y="1860987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FLR</a:t>
          </a:r>
          <a:endParaRPr lang="id-ID" sz="700"/>
        </a:p>
      </xdr:txBody>
    </xdr:sp>
    <xdr:clientData/>
  </xdr:twoCellAnchor>
  <xdr:twoCellAnchor>
    <xdr:from>
      <xdr:col>4</xdr:col>
      <xdr:colOff>331075</xdr:colOff>
      <xdr:row>9</xdr:row>
      <xdr:rowOff>29559</xdr:rowOff>
    </xdr:from>
    <xdr:to>
      <xdr:col>5</xdr:col>
      <xdr:colOff>598651</xdr:colOff>
      <xdr:row>9</xdr:row>
      <xdr:rowOff>213709</xdr:rowOff>
    </xdr:to>
    <xdr:sp macro="" textlink="">
      <xdr:nvSpPr>
        <xdr:cNvPr id="17" name="Rectangle: Rounded Corners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E78183B4-9EFF-4E75-8AF9-7945BAB96EA7}"/>
            </a:ext>
          </a:extLst>
        </xdr:cNvPr>
        <xdr:cNvSpPr/>
      </xdr:nvSpPr>
      <xdr:spPr>
        <a:xfrm>
          <a:off x="4552730" y="2105352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FLRG</a:t>
          </a:r>
          <a:endParaRPr lang="id-ID" sz="700"/>
        </a:p>
      </xdr:txBody>
    </xdr:sp>
    <xdr:clientData/>
  </xdr:twoCellAnchor>
  <xdr:twoCellAnchor>
    <xdr:from>
      <xdr:col>4</xdr:col>
      <xdr:colOff>334580</xdr:colOff>
      <xdr:row>10</xdr:row>
      <xdr:rowOff>54959</xdr:rowOff>
    </xdr:from>
    <xdr:to>
      <xdr:col>5</xdr:col>
      <xdr:colOff>602156</xdr:colOff>
      <xdr:row>10</xdr:row>
      <xdr:rowOff>239109</xdr:rowOff>
    </xdr:to>
    <xdr:sp macro="" textlink="">
      <xdr:nvSpPr>
        <xdr:cNvPr id="18" name="Rectangle: Rounded Corners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49D87170-9CAF-47D2-B285-E32E6057D785}"/>
            </a:ext>
          </a:extLst>
        </xdr:cNvPr>
        <xdr:cNvSpPr/>
      </xdr:nvSpPr>
      <xdr:spPr>
        <a:xfrm>
          <a:off x="4556235" y="2384752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DEFFUZIFIKASI</a:t>
          </a:r>
          <a:endParaRPr lang="id-ID" sz="700"/>
        </a:p>
      </xdr:txBody>
    </xdr:sp>
    <xdr:clientData/>
  </xdr:twoCellAnchor>
  <xdr:twoCellAnchor>
    <xdr:from>
      <xdr:col>4</xdr:col>
      <xdr:colOff>338084</xdr:colOff>
      <xdr:row>11</xdr:row>
      <xdr:rowOff>40945</xdr:rowOff>
    </xdr:from>
    <xdr:to>
      <xdr:col>5</xdr:col>
      <xdr:colOff>605660</xdr:colOff>
      <xdr:row>11</xdr:row>
      <xdr:rowOff>225095</xdr:rowOff>
    </xdr:to>
    <xdr:sp macro="" textlink="">
      <xdr:nvSpPr>
        <xdr:cNvPr id="26" name="Rectangle: Rounded Corner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EECBB3A9-A65E-4869-A273-A2A8B39A3C1D}"/>
            </a:ext>
          </a:extLst>
        </xdr:cNvPr>
        <xdr:cNvSpPr/>
      </xdr:nvSpPr>
      <xdr:spPr>
        <a:xfrm>
          <a:off x="4559739" y="2624738"/>
          <a:ext cx="876300" cy="184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FORECAST FTS</a:t>
          </a:r>
          <a:endParaRPr lang="id-ID" sz="7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177052</xdr:colOff>
      <xdr:row>1</xdr:row>
      <xdr:rowOff>174811</xdr:rowOff>
    </xdr:from>
    <xdr:to>
      <xdr:col>6</xdr:col>
      <xdr:colOff>276412</xdr:colOff>
      <xdr:row>3</xdr:row>
      <xdr:rowOff>104588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74AAEC-AA6E-4C0F-A94B-86E8E499DFD2}"/>
            </a:ext>
          </a:extLst>
        </xdr:cNvPr>
        <xdr:cNvSpPr/>
      </xdr:nvSpPr>
      <xdr:spPr>
        <a:xfrm>
          <a:off x="2776817" y="361576"/>
          <a:ext cx="1324536" cy="30330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463550</xdr:colOff>
      <xdr:row>1</xdr:row>
      <xdr:rowOff>149223</xdr:rowOff>
    </xdr:from>
    <xdr:to>
      <xdr:col>18</xdr:col>
      <xdr:colOff>436562</xdr:colOff>
      <xdr:row>25</xdr:row>
      <xdr:rowOff>174624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083130C-2677-ABC2-0144-4A8E32C8F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484187</xdr:colOff>
      <xdr:row>0</xdr:row>
      <xdr:rowOff>23813</xdr:rowOff>
    </xdr:from>
    <xdr:to>
      <xdr:col>5</xdr:col>
      <xdr:colOff>586348</xdr:colOff>
      <xdr:row>1</xdr:row>
      <xdr:rowOff>144556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1CB65E5D-48C6-45E7-8D99-1510B83CC56C}"/>
            </a:ext>
          </a:extLst>
        </xdr:cNvPr>
        <xdr:cNvSpPr/>
      </xdr:nvSpPr>
      <xdr:spPr>
        <a:xfrm>
          <a:off x="2468562" y="23813"/>
          <a:ext cx="1324536" cy="30330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298450</xdr:colOff>
      <xdr:row>0</xdr:row>
      <xdr:rowOff>146050</xdr:rowOff>
    </xdr:from>
    <xdr:to>
      <xdr:col>8</xdr:col>
      <xdr:colOff>403786</xdr:colOff>
      <xdr:row>2</xdr:row>
      <xdr:rowOff>68356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F7861430-AB5C-4FFA-BD27-E37DDC7DA223}"/>
            </a:ext>
          </a:extLst>
        </xdr:cNvPr>
        <xdr:cNvSpPr/>
      </xdr:nvSpPr>
      <xdr:spPr>
        <a:xfrm>
          <a:off x="4838700" y="146050"/>
          <a:ext cx="1324536" cy="30330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20</xdr:col>
      <xdr:colOff>0</xdr:colOff>
      <xdr:row>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DF7BEE3-ABD5-BB42-DED0-471C47F77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20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E68CC5B-E9C6-7AC4-7869-27F5B0CAE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575235</xdr:colOff>
      <xdr:row>20</xdr:row>
      <xdr:rowOff>44824</xdr:rowOff>
    </xdr:from>
    <xdr:to>
      <xdr:col>10</xdr:col>
      <xdr:colOff>62007</xdr:colOff>
      <xdr:row>21</xdr:row>
      <xdr:rowOff>161365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00A8500-872B-4007-B818-7E2D41B49F45}"/>
            </a:ext>
          </a:extLst>
        </xdr:cNvPr>
        <xdr:cNvSpPr/>
      </xdr:nvSpPr>
      <xdr:spPr>
        <a:xfrm>
          <a:off x="4863353" y="3795059"/>
          <a:ext cx="1324536" cy="30330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204611</xdr:colOff>
      <xdr:row>20</xdr:row>
      <xdr:rowOff>112888</xdr:rowOff>
    </xdr:from>
    <xdr:to>
      <xdr:col>7</xdr:col>
      <xdr:colOff>315592</xdr:colOff>
      <xdr:row>22</xdr:row>
      <xdr:rowOff>49306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445E681-93BD-4BCB-BC7D-31D0426A626B}"/>
            </a:ext>
          </a:extLst>
        </xdr:cNvPr>
        <xdr:cNvSpPr/>
      </xdr:nvSpPr>
      <xdr:spPr>
        <a:xfrm>
          <a:off x="3238500" y="3866444"/>
          <a:ext cx="1324536" cy="30330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13</xdr:row>
      <xdr:rowOff>31750</xdr:rowOff>
    </xdr:from>
    <xdr:to>
      <xdr:col>2</xdr:col>
      <xdr:colOff>156136</xdr:colOff>
      <xdr:row>14</xdr:row>
      <xdr:rowOff>150906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D23F385-2280-4C1E-B726-2110229B1C99}"/>
            </a:ext>
          </a:extLst>
        </xdr:cNvPr>
        <xdr:cNvSpPr/>
      </xdr:nvSpPr>
      <xdr:spPr>
        <a:xfrm>
          <a:off x="50800" y="2425700"/>
          <a:ext cx="1324536" cy="30330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13</xdr:row>
      <xdr:rowOff>114300</xdr:rowOff>
    </xdr:from>
    <xdr:to>
      <xdr:col>2</xdr:col>
      <xdr:colOff>492686</xdr:colOff>
      <xdr:row>15</xdr:row>
      <xdr:rowOff>49306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D932D36-2C4A-40B7-A097-A357F81884E3}"/>
            </a:ext>
          </a:extLst>
        </xdr:cNvPr>
        <xdr:cNvSpPr/>
      </xdr:nvSpPr>
      <xdr:spPr>
        <a:xfrm>
          <a:off x="101600" y="2508250"/>
          <a:ext cx="1324536" cy="30330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577850</xdr:colOff>
      <xdr:row>9</xdr:row>
      <xdr:rowOff>95250</xdr:rowOff>
    </xdr:from>
    <xdr:to>
      <xdr:col>4</xdr:col>
      <xdr:colOff>283136</xdr:colOff>
      <xdr:row>11</xdr:row>
      <xdr:rowOff>30256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D000E51-EAAC-4698-8017-8030F80075C8}"/>
            </a:ext>
          </a:extLst>
        </xdr:cNvPr>
        <xdr:cNvSpPr/>
      </xdr:nvSpPr>
      <xdr:spPr>
        <a:xfrm>
          <a:off x="1949450" y="1752600"/>
          <a:ext cx="1324536" cy="30330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7</xdr:row>
      <xdr:rowOff>101600</xdr:rowOff>
    </xdr:from>
    <xdr:to>
      <xdr:col>1</xdr:col>
      <xdr:colOff>359336</xdr:colOff>
      <xdr:row>9</xdr:row>
      <xdr:rowOff>36606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FA8531C-0A9E-48EB-A95C-1A04E2B3726C}"/>
            </a:ext>
          </a:extLst>
        </xdr:cNvPr>
        <xdr:cNvSpPr/>
      </xdr:nvSpPr>
      <xdr:spPr>
        <a:xfrm>
          <a:off x="44450" y="1390650"/>
          <a:ext cx="1324536" cy="30330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2</xdr:col>
      <xdr:colOff>105336</xdr:colOff>
      <xdr:row>10</xdr:row>
      <xdr:rowOff>68356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DF5408-AB27-4580-9404-02DFF33C04DC}"/>
            </a:ext>
          </a:extLst>
        </xdr:cNvPr>
        <xdr:cNvSpPr/>
      </xdr:nvSpPr>
      <xdr:spPr>
        <a:xfrm>
          <a:off x="0" y="1606550"/>
          <a:ext cx="1324536" cy="30330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0</xdr:row>
      <xdr:rowOff>69850</xdr:rowOff>
    </xdr:from>
    <xdr:to>
      <xdr:col>5</xdr:col>
      <xdr:colOff>251386</xdr:colOff>
      <xdr:row>2</xdr:row>
      <xdr:rowOff>4856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D8912D3-A958-46CB-A823-16C8E50C0566}"/>
            </a:ext>
          </a:extLst>
        </xdr:cNvPr>
        <xdr:cNvSpPr/>
      </xdr:nvSpPr>
      <xdr:spPr>
        <a:xfrm>
          <a:off x="1651000" y="69850"/>
          <a:ext cx="1324536" cy="30330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257464</xdr:colOff>
      <xdr:row>0</xdr:row>
      <xdr:rowOff>56572</xdr:rowOff>
    </xdr:from>
    <xdr:to>
      <xdr:col>6</xdr:col>
      <xdr:colOff>362800</xdr:colOff>
      <xdr:row>1</xdr:row>
      <xdr:rowOff>176305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A71E4A1-7AA5-40D8-A22A-BC3F62235401}"/>
            </a:ext>
          </a:extLst>
        </xdr:cNvPr>
        <xdr:cNvSpPr/>
      </xdr:nvSpPr>
      <xdr:spPr>
        <a:xfrm>
          <a:off x="2762828" y="56572"/>
          <a:ext cx="1329154" cy="30446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412750</xdr:colOff>
      <xdr:row>0</xdr:row>
      <xdr:rowOff>57150</xdr:rowOff>
    </xdr:from>
    <xdr:to>
      <xdr:col>4</xdr:col>
      <xdr:colOff>518086</xdr:colOff>
      <xdr:row>1</xdr:row>
      <xdr:rowOff>176883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3575AC9-977D-4E66-8EBE-6203F3A945D5}"/>
            </a:ext>
          </a:extLst>
        </xdr:cNvPr>
        <xdr:cNvSpPr/>
      </xdr:nvSpPr>
      <xdr:spPr>
        <a:xfrm>
          <a:off x="2330450" y="57150"/>
          <a:ext cx="1324536" cy="303883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82550</xdr:rowOff>
    </xdr:from>
    <xdr:to>
      <xdr:col>6</xdr:col>
      <xdr:colOff>181536</xdr:colOff>
      <xdr:row>2</xdr:row>
      <xdr:rowOff>18133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393C96D-81E9-4E6A-9EF6-D11B8BE1E12B}"/>
            </a:ext>
          </a:extLst>
        </xdr:cNvPr>
        <xdr:cNvSpPr/>
      </xdr:nvSpPr>
      <xdr:spPr>
        <a:xfrm>
          <a:off x="2552700" y="82550"/>
          <a:ext cx="1324536" cy="303883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44824</xdr:colOff>
      <xdr:row>11</xdr:row>
      <xdr:rowOff>14941</xdr:rowOff>
    </xdr:from>
    <xdr:to>
      <xdr:col>6</xdr:col>
      <xdr:colOff>756772</xdr:colOff>
      <xdr:row>12</xdr:row>
      <xdr:rowOff>132060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0261155-88C4-44FB-B914-7D8C2994B633}"/>
            </a:ext>
          </a:extLst>
        </xdr:cNvPr>
        <xdr:cNvSpPr/>
      </xdr:nvSpPr>
      <xdr:spPr>
        <a:xfrm>
          <a:off x="3107765" y="2069353"/>
          <a:ext cx="1324536" cy="303883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/>
            <a:t>KEMBALI KE DASHBOARD</a:t>
          </a:r>
          <a:endParaRPr lang="id-ID" sz="7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zoomScale="92" zoomScaleNormal="92" workbookViewId="0">
      <selection sqref="A1:G2"/>
    </sheetView>
  </sheetViews>
  <sheetFormatPr defaultRowHeight="14.5" x14ac:dyDescent="0.35"/>
  <cols>
    <col min="1" max="1" width="15.6328125" bestFit="1" customWidth="1"/>
    <col min="2" max="2" width="23.36328125" bestFit="1" customWidth="1"/>
    <col min="4" max="4" width="12.7265625" bestFit="1" customWidth="1"/>
  </cols>
  <sheetData>
    <row r="1" spans="1:7" ht="14.5" customHeight="1" x14ac:dyDescent="0.35">
      <c r="A1" s="21" t="s">
        <v>164</v>
      </c>
      <c r="B1" s="21"/>
      <c r="C1" s="21"/>
      <c r="D1" s="21"/>
      <c r="E1" s="21"/>
      <c r="F1" s="21"/>
      <c r="G1" s="21"/>
    </row>
    <row r="2" spans="1:7" x14ac:dyDescent="0.35">
      <c r="A2" s="21"/>
      <c r="B2" s="21"/>
      <c r="C2" s="21"/>
      <c r="D2" s="21"/>
      <c r="E2" s="21"/>
      <c r="F2" s="21"/>
      <c r="G2" s="21"/>
    </row>
    <row r="3" spans="1:7" x14ac:dyDescent="0.35">
      <c r="A3" s="9" t="s">
        <v>166</v>
      </c>
    </row>
    <row r="4" spans="1:7" ht="20" customHeight="1" x14ac:dyDescent="0.35">
      <c r="A4" s="20" t="s">
        <v>165</v>
      </c>
      <c r="B4" s="20"/>
      <c r="D4" s="20" t="s">
        <v>165</v>
      </c>
      <c r="E4" s="20"/>
      <c r="F4" s="20"/>
      <c r="G4" s="20"/>
    </row>
    <row r="5" spans="1:7" ht="20" customHeight="1" x14ac:dyDescent="0.35">
      <c r="A5" s="7" t="s">
        <v>151</v>
      </c>
      <c r="B5" s="7"/>
      <c r="D5" s="7" t="s">
        <v>158</v>
      </c>
      <c r="E5" s="7"/>
      <c r="F5" s="8"/>
      <c r="G5" s="8"/>
    </row>
    <row r="6" spans="1:7" ht="20" customHeight="1" x14ac:dyDescent="0.35">
      <c r="A6" s="7" t="s">
        <v>152</v>
      </c>
      <c r="B6" s="7"/>
      <c r="D6" s="7" t="s">
        <v>159</v>
      </c>
      <c r="E6" s="7"/>
      <c r="F6" s="8"/>
      <c r="G6" s="8"/>
    </row>
    <row r="7" spans="1:7" ht="20" customHeight="1" x14ac:dyDescent="0.35">
      <c r="A7" s="7" t="s">
        <v>153</v>
      </c>
      <c r="B7" s="7"/>
      <c r="D7" s="7" t="s">
        <v>160</v>
      </c>
      <c r="E7" s="7"/>
      <c r="F7" s="8"/>
      <c r="G7" s="8"/>
    </row>
    <row r="8" spans="1:7" ht="20" customHeight="1" x14ac:dyDescent="0.35">
      <c r="A8" s="7" t="s">
        <v>154</v>
      </c>
      <c r="B8" s="7"/>
      <c r="D8" s="7" t="s">
        <v>161</v>
      </c>
      <c r="E8" s="7"/>
      <c r="F8" s="8"/>
      <c r="G8" s="8"/>
    </row>
    <row r="9" spans="1:7" ht="20" customHeight="1" x14ac:dyDescent="0.35">
      <c r="A9" s="7" t="s">
        <v>155</v>
      </c>
      <c r="B9" s="7"/>
      <c r="D9" s="7" t="s">
        <v>133</v>
      </c>
      <c r="E9" s="7"/>
      <c r="F9" s="8"/>
      <c r="G9" s="8"/>
    </row>
    <row r="10" spans="1:7" ht="20" customHeight="1" x14ac:dyDescent="0.35">
      <c r="A10" s="7" t="s">
        <v>156</v>
      </c>
      <c r="B10" s="7"/>
      <c r="D10" s="7" t="s">
        <v>143</v>
      </c>
      <c r="E10" s="7"/>
      <c r="F10" s="8"/>
      <c r="G10" s="8"/>
    </row>
    <row r="11" spans="1:7" ht="20" customHeight="1" x14ac:dyDescent="0.35">
      <c r="A11" s="7" t="s">
        <v>157</v>
      </c>
      <c r="B11" s="7"/>
      <c r="D11" s="7" t="s">
        <v>162</v>
      </c>
      <c r="E11" s="7"/>
      <c r="F11" s="8"/>
      <c r="G11" s="8"/>
    </row>
    <row r="12" spans="1:7" ht="20" customHeight="1" x14ac:dyDescent="0.35">
      <c r="A12" s="8"/>
      <c r="B12" s="8"/>
      <c r="D12" s="7" t="s">
        <v>163</v>
      </c>
      <c r="E12" s="8"/>
      <c r="F12" s="8"/>
      <c r="G12" s="8"/>
    </row>
  </sheetData>
  <mergeCells count="3">
    <mergeCell ref="A4:B4"/>
    <mergeCell ref="A1:G2"/>
    <mergeCell ref="D4:G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zoomScale="85" zoomScaleNormal="85" workbookViewId="0">
      <selection sqref="A1:B1"/>
    </sheetView>
  </sheetViews>
  <sheetFormatPr defaultRowHeight="14.5" x14ac:dyDescent="0.35"/>
  <cols>
    <col min="1" max="1" width="19" customWidth="1"/>
    <col min="2" max="2" width="20.26953125" customWidth="1"/>
  </cols>
  <sheetData>
    <row r="1" spans="1:2" ht="25.5" customHeight="1" x14ac:dyDescent="0.35">
      <c r="A1" s="12" t="s">
        <v>1</v>
      </c>
      <c r="B1" s="12" t="s">
        <v>0</v>
      </c>
    </row>
    <row r="2" spans="1:2" x14ac:dyDescent="0.35">
      <c r="A2" s="10" t="s">
        <v>2</v>
      </c>
      <c r="B2" s="10">
        <v>11</v>
      </c>
    </row>
    <row r="3" spans="1:2" x14ac:dyDescent="0.35">
      <c r="A3" s="11" t="s">
        <v>3</v>
      </c>
      <c r="B3" s="11">
        <v>13</v>
      </c>
    </row>
    <row r="4" spans="1:2" x14ac:dyDescent="0.35">
      <c r="A4" s="11" t="s">
        <v>4</v>
      </c>
      <c r="B4" s="11">
        <v>12</v>
      </c>
    </row>
    <row r="5" spans="1:2" x14ac:dyDescent="0.35">
      <c r="A5" s="11" t="s">
        <v>5</v>
      </c>
      <c r="B5" s="11">
        <v>15</v>
      </c>
    </row>
    <row r="6" spans="1:2" x14ac:dyDescent="0.35">
      <c r="A6" s="11" t="s">
        <v>6</v>
      </c>
      <c r="B6" s="11">
        <v>14</v>
      </c>
    </row>
    <row r="7" spans="1:2" x14ac:dyDescent="0.35">
      <c r="A7" s="11" t="s">
        <v>7</v>
      </c>
      <c r="B7" s="11">
        <v>16</v>
      </c>
    </row>
    <row r="8" spans="1:2" x14ac:dyDescent="0.35">
      <c r="A8" s="11" t="s">
        <v>8</v>
      </c>
      <c r="B8" s="11">
        <v>18</v>
      </c>
    </row>
    <row r="9" spans="1:2" x14ac:dyDescent="0.35">
      <c r="A9" s="11" t="s">
        <v>9</v>
      </c>
      <c r="B9" s="11">
        <v>17</v>
      </c>
    </row>
    <row r="10" spans="1:2" x14ac:dyDescent="0.35">
      <c r="A10" s="11" t="s">
        <v>10</v>
      </c>
      <c r="B10" s="11">
        <v>19</v>
      </c>
    </row>
    <row r="11" spans="1:2" x14ac:dyDescent="0.35">
      <c r="A11" s="11" t="s">
        <v>11</v>
      </c>
      <c r="B11" s="11">
        <v>21</v>
      </c>
    </row>
    <row r="12" spans="1:2" x14ac:dyDescent="0.35">
      <c r="A12" s="11" t="s">
        <v>12</v>
      </c>
      <c r="B12" s="11">
        <v>20</v>
      </c>
    </row>
    <row r="13" spans="1:2" x14ac:dyDescent="0.35">
      <c r="A13" s="11" t="s">
        <v>13</v>
      </c>
      <c r="B13" s="11">
        <v>23</v>
      </c>
    </row>
    <row r="14" spans="1:2" x14ac:dyDescent="0.35">
      <c r="A14" s="11" t="s">
        <v>14</v>
      </c>
      <c r="B14" s="11">
        <v>14</v>
      </c>
    </row>
    <row r="15" spans="1:2" x14ac:dyDescent="0.35">
      <c r="A15" s="11" t="s">
        <v>15</v>
      </c>
      <c r="B15" s="11">
        <v>16</v>
      </c>
    </row>
    <row r="16" spans="1:2" x14ac:dyDescent="0.35">
      <c r="A16" s="11" t="s">
        <v>16</v>
      </c>
      <c r="B16" s="11">
        <v>15</v>
      </c>
    </row>
    <row r="17" spans="1:2" x14ac:dyDescent="0.35">
      <c r="A17" s="11" t="s">
        <v>17</v>
      </c>
      <c r="B17" s="11">
        <v>18</v>
      </c>
    </row>
    <row r="18" spans="1:2" x14ac:dyDescent="0.35">
      <c r="A18" s="11" t="s">
        <v>18</v>
      </c>
      <c r="B18" s="11">
        <v>17</v>
      </c>
    </row>
    <row r="19" spans="1:2" x14ac:dyDescent="0.35">
      <c r="A19" s="11" t="s">
        <v>19</v>
      </c>
      <c r="B19" s="11">
        <v>20</v>
      </c>
    </row>
    <row r="20" spans="1:2" x14ac:dyDescent="0.35">
      <c r="A20" s="11" t="s">
        <v>20</v>
      </c>
      <c r="B20" s="11">
        <v>22</v>
      </c>
    </row>
    <row r="21" spans="1:2" x14ac:dyDescent="0.35">
      <c r="A21" s="11" t="s">
        <v>21</v>
      </c>
      <c r="B21" s="11">
        <v>21</v>
      </c>
    </row>
    <row r="22" spans="1:2" x14ac:dyDescent="0.35">
      <c r="A22" s="11" t="s">
        <v>22</v>
      </c>
      <c r="B22" s="11">
        <v>24</v>
      </c>
    </row>
    <row r="23" spans="1:2" x14ac:dyDescent="0.35">
      <c r="A23" s="11" t="s">
        <v>23</v>
      </c>
      <c r="B23" s="11">
        <v>23</v>
      </c>
    </row>
    <row r="24" spans="1:2" x14ac:dyDescent="0.35">
      <c r="A24" s="11" t="s">
        <v>24</v>
      </c>
      <c r="B24" s="11">
        <v>25</v>
      </c>
    </row>
    <row r="25" spans="1:2" x14ac:dyDescent="0.35">
      <c r="A25" s="11" t="s">
        <v>25</v>
      </c>
      <c r="B25" s="11">
        <v>27</v>
      </c>
    </row>
    <row r="26" spans="1:2" x14ac:dyDescent="0.35">
      <c r="A26" s="11" t="s">
        <v>26</v>
      </c>
      <c r="B26" s="11">
        <v>16</v>
      </c>
    </row>
    <row r="27" spans="1:2" x14ac:dyDescent="0.35">
      <c r="A27" s="11" t="s">
        <v>27</v>
      </c>
      <c r="B27" s="11">
        <v>18</v>
      </c>
    </row>
    <row r="28" spans="1:2" x14ac:dyDescent="0.35">
      <c r="A28" s="11" t="s">
        <v>28</v>
      </c>
      <c r="B28" s="11">
        <v>17</v>
      </c>
    </row>
    <row r="29" spans="1:2" x14ac:dyDescent="0.35">
      <c r="A29" s="11" t="s">
        <v>29</v>
      </c>
      <c r="B29" s="11">
        <v>19</v>
      </c>
    </row>
    <row r="30" spans="1:2" x14ac:dyDescent="0.35">
      <c r="A30" s="11" t="s">
        <v>30</v>
      </c>
      <c r="B30" s="11">
        <v>21</v>
      </c>
    </row>
    <row r="31" spans="1:2" x14ac:dyDescent="0.35">
      <c r="A31" s="11" t="s">
        <v>31</v>
      </c>
      <c r="B31" s="11">
        <v>20</v>
      </c>
    </row>
    <row r="32" spans="1:2" x14ac:dyDescent="0.35">
      <c r="A32" s="11" t="s">
        <v>32</v>
      </c>
      <c r="B32" s="11">
        <v>23</v>
      </c>
    </row>
    <row r="33" spans="1:2" x14ac:dyDescent="0.35">
      <c r="A33" s="11" t="s">
        <v>33</v>
      </c>
      <c r="B33" s="11">
        <v>25</v>
      </c>
    </row>
    <row r="34" spans="1:2" x14ac:dyDescent="0.35">
      <c r="A34" s="11" t="s">
        <v>34</v>
      </c>
      <c r="B34" s="11">
        <v>24</v>
      </c>
    </row>
    <row r="35" spans="1:2" x14ac:dyDescent="0.35">
      <c r="A35" s="11" t="s">
        <v>35</v>
      </c>
      <c r="B35" s="11">
        <v>26</v>
      </c>
    </row>
    <row r="36" spans="1:2" x14ac:dyDescent="0.35">
      <c r="A36" s="11" t="s">
        <v>36</v>
      </c>
      <c r="B36" s="11">
        <v>28</v>
      </c>
    </row>
    <row r="37" spans="1:2" x14ac:dyDescent="0.35">
      <c r="A37" s="11" t="s">
        <v>37</v>
      </c>
      <c r="B37" s="11">
        <v>30</v>
      </c>
    </row>
    <row r="38" spans="1:2" x14ac:dyDescent="0.35">
      <c r="A38" s="11" t="s">
        <v>38</v>
      </c>
      <c r="B38" s="11">
        <v>18</v>
      </c>
    </row>
    <row r="39" spans="1:2" x14ac:dyDescent="0.35">
      <c r="A39" s="11" t="s">
        <v>39</v>
      </c>
      <c r="B39" s="11">
        <v>17</v>
      </c>
    </row>
    <row r="40" spans="1:2" x14ac:dyDescent="0.35">
      <c r="A40" s="11" t="s">
        <v>40</v>
      </c>
      <c r="B40" s="11">
        <v>20</v>
      </c>
    </row>
    <row r="41" spans="1:2" x14ac:dyDescent="0.35">
      <c r="A41" s="11" t="s">
        <v>41</v>
      </c>
      <c r="B41" s="11">
        <v>22</v>
      </c>
    </row>
    <row r="42" spans="1:2" x14ac:dyDescent="0.35">
      <c r="A42" s="11" t="s">
        <v>42</v>
      </c>
      <c r="B42" s="11">
        <v>21</v>
      </c>
    </row>
    <row r="43" spans="1:2" x14ac:dyDescent="0.35">
      <c r="A43" s="11" t="s">
        <v>43</v>
      </c>
      <c r="B43" s="11">
        <v>24</v>
      </c>
    </row>
    <row r="44" spans="1:2" x14ac:dyDescent="0.35">
      <c r="A44" s="11" t="s">
        <v>44</v>
      </c>
      <c r="B44" s="11">
        <v>26</v>
      </c>
    </row>
    <row r="45" spans="1:2" x14ac:dyDescent="0.35">
      <c r="A45" s="11" t="s">
        <v>45</v>
      </c>
      <c r="B45" s="11">
        <v>25</v>
      </c>
    </row>
    <row r="46" spans="1:2" x14ac:dyDescent="0.35">
      <c r="A46" s="11" t="s">
        <v>46</v>
      </c>
      <c r="B46" s="11">
        <v>27</v>
      </c>
    </row>
    <row r="47" spans="1:2" x14ac:dyDescent="0.35">
      <c r="A47" s="11" t="s">
        <v>47</v>
      </c>
      <c r="B47" s="11">
        <v>29</v>
      </c>
    </row>
    <row r="48" spans="1:2" x14ac:dyDescent="0.35">
      <c r="A48" s="11" t="s">
        <v>48</v>
      </c>
      <c r="B48" s="11">
        <v>30</v>
      </c>
    </row>
    <row r="49" spans="1:2" x14ac:dyDescent="0.35">
      <c r="A49" s="11" t="s">
        <v>49</v>
      </c>
      <c r="B49" s="11">
        <v>28</v>
      </c>
    </row>
    <row r="50" spans="1:2" x14ac:dyDescent="0.35">
      <c r="A50" s="11" t="s">
        <v>50</v>
      </c>
      <c r="B50" s="11">
        <v>19</v>
      </c>
    </row>
    <row r="51" spans="1:2" x14ac:dyDescent="0.35">
      <c r="A51" s="11" t="s">
        <v>51</v>
      </c>
      <c r="B51" s="11">
        <v>21</v>
      </c>
    </row>
    <row r="52" spans="1:2" x14ac:dyDescent="0.35">
      <c r="A52" s="11" t="s">
        <v>52</v>
      </c>
      <c r="B52" s="11">
        <v>20</v>
      </c>
    </row>
    <row r="53" spans="1:2" x14ac:dyDescent="0.35">
      <c r="A53" s="11" t="s">
        <v>53</v>
      </c>
      <c r="B53" s="11">
        <v>23</v>
      </c>
    </row>
    <row r="54" spans="1:2" x14ac:dyDescent="0.35">
      <c r="A54" s="11" t="s">
        <v>54</v>
      </c>
      <c r="B54" s="11">
        <v>25</v>
      </c>
    </row>
    <row r="55" spans="1:2" x14ac:dyDescent="0.35">
      <c r="A55" s="11" t="s">
        <v>55</v>
      </c>
      <c r="B55" s="11">
        <v>24</v>
      </c>
    </row>
    <row r="56" spans="1:2" x14ac:dyDescent="0.35">
      <c r="A56" s="11" t="s">
        <v>56</v>
      </c>
      <c r="B56" s="11">
        <v>27</v>
      </c>
    </row>
    <row r="57" spans="1:2" x14ac:dyDescent="0.35">
      <c r="A57" s="11" t="s">
        <v>57</v>
      </c>
      <c r="B57" s="11">
        <v>30</v>
      </c>
    </row>
    <row r="58" spans="1:2" x14ac:dyDescent="0.35">
      <c r="A58" s="11" t="s">
        <v>58</v>
      </c>
      <c r="B58" s="11">
        <v>28</v>
      </c>
    </row>
    <row r="59" spans="1:2" x14ac:dyDescent="0.35">
      <c r="A59" s="11" t="s">
        <v>59</v>
      </c>
      <c r="B59" s="11">
        <v>29</v>
      </c>
    </row>
    <row r="60" spans="1:2" x14ac:dyDescent="0.35">
      <c r="A60" s="11" t="s">
        <v>60</v>
      </c>
      <c r="B60" s="11">
        <v>27</v>
      </c>
    </row>
    <row r="61" spans="1:2" x14ac:dyDescent="0.35">
      <c r="A61" s="11" t="s">
        <v>61</v>
      </c>
      <c r="B61" s="11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zoomScale="80" zoomScaleNormal="80" workbookViewId="0">
      <selection activeCell="T8" sqref="T8"/>
    </sheetView>
  </sheetViews>
  <sheetFormatPr defaultRowHeight="14.5" x14ac:dyDescent="0.35"/>
  <cols>
    <col min="1" max="1" width="17.54296875" customWidth="1"/>
    <col min="2" max="2" width="17.26953125" customWidth="1"/>
  </cols>
  <sheetData>
    <row r="1" spans="1:2" ht="26" customHeight="1" x14ac:dyDescent="0.35">
      <c r="A1" s="12" t="s">
        <v>1</v>
      </c>
      <c r="B1" s="12" t="s">
        <v>0</v>
      </c>
    </row>
    <row r="2" spans="1:2" x14ac:dyDescent="0.35">
      <c r="A2" s="10" t="s">
        <v>2</v>
      </c>
      <c r="B2" s="10">
        <v>11</v>
      </c>
    </row>
    <row r="3" spans="1:2" x14ac:dyDescent="0.35">
      <c r="A3" s="11" t="s">
        <v>3</v>
      </c>
      <c r="B3" s="11">
        <v>13</v>
      </c>
    </row>
    <row r="4" spans="1:2" x14ac:dyDescent="0.35">
      <c r="A4" s="11" t="s">
        <v>4</v>
      </c>
      <c r="B4" s="11">
        <v>12</v>
      </c>
    </row>
    <row r="5" spans="1:2" x14ac:dyDescent="0.35">
      <c r="A5" s="11" t="s">
        <v>5</v>
      </c>
      <c r="B5" s="11">
        <v>15</v>
      </c>
    </row>
    <row r="6" spans="1:2" x14ac:dyDescent="0.35">
      <c r="A6" s="11" t="s">
        <v>6</v>
      </c>
      <c r="B6" s="11">
        <v>14</v>
      </c>
    </row>
    <row r="7" spans="1:2" x14ac:dyDescent="0.35">
      <c r="A7" s="11" t="s">
        <v>7</v>
      </c>
      <c r="B7" s="11">
        <v>16</v>
      </c>
    </row>
    <row r="8" spans="1:2" x14ac:dyDescent="0.35">
      <c r="A8" s="11" t="s">
        <v>8</v>
      </c>
      <c r="B8" s="11">
        <v>18</v>
      </c>
    </row>
    <row r="9" spans="1:2" x14ac:dyDescent="0.35">
      <c r="A9" s="11" t="s">
        <v>9</v>
      </c>
      <c r="B9" s="11">
        <v>17</v>
      </c>
    </row>
    <row r="10" spans="1:2" x14ac:dyDescent="0.35">
      <c r="A10" s="11" t="s">
        <v>10</v>
      </c>
      <c r="B10" s="11">
        <v>19</v>
      </c>
    </row>
    <row r="11" spans="1:2" x14ac:dyDescent="0.35">
      <c r="A11" s="11" t="s">
        <v>11</v>
      </c>
      <c r="B11" s="11">
        <v>21</v>
      </c>
    </row>
    <row r="12" spans="1:2" x14ac:dyDescent="0.35">
      <c r="A12" s="11" t="s">
        <v>12</v>
      </c>
      <c r="B12" s="11">
        <v>20</v>
      </c>
    </row>
    <row r="13" spans="1:2" x14ac:dyDescent="0.35">
      <c r="A13" s="11" t="s">
        <v>13</v>
      </c>
      <c r="B13" s="11">
        <v>23</v>
      </c>
    </row>
    <row r="14" spans="1:2" x14ac:dyDescent="0.35">
      <c r="A14" s="11" t="s">
        <v>14</v>
      </c>
      <c r="B14" s="11">
        <v>14</v>
      </c>
    </row>
    <row r="15" spans="1:2" x14ac:dyDescent="0.35">
      <c r="A15" s="11" t="s">
        <v>15</v>
      </c>
      <c r="B15" s="11">
        <v>16</v>
      </c>
    </row>
    <row r="16" spans="1:2" x14ac:dyDescent="0.35">
      <c r="A16" s="11" t="s">
        <v>16</v>
      </c>
      <c r="B16" s="11">
        <v>15</v>
      </c>
    </row>
    <row r="17" spans="1:2" x14ac:dyDescent="0.35">
      <c r="A17" s="11" t="s">
        <v>17</v>
      </c>
      <c r="B17" s="11">
        <v>18</v>
      </c>
    </row>
    <row r="18" spans="1:2" x14ac:dyDescent="0.35">
      <c r="A18" s="11" t="s">
        <v>18</v>
      </c>
      <c r="B18" s="11">
        <v>17</v>
      </c>
    </row>
    <row r="19" spans="1:2" x14ac:dyDescent="0.35">
      <c r="A19" s="11" t="s">
        <v>19</v>
      </c>
      <c r="B19" s="11">
        <v>20</v>
      </c>
    </row>
    <row r="20" spans="1:2" x14ac:dyDescent="0.35">
      <c r="A20" s="11" t="s">
        <v>20</v>
      </c>
      <c r="B20" s="11">
        <v>22</v>
      </c>
    </row>
    <row r="21" spans="1:2" x14ac:dyDescent="0.35">
      <c r="A21" s="11" t="s">
        <v>21</v>
      </c>
      <c r="B21" s="11">
        <v>21</v>
      </c>
    </row>
    <row r="22" spans="1:2" x14ac:dyDescent="0.35">
      <c r="A22" s="11" t="s">
        <v>22</v>
      </c>
      <c r="B22" s="11">
        <v>24</v>
      </c>
    </row>
    <row r="23" spans="1:2" x14ac:dyDescent="0.35">
      <c r="A23" s="11" t="s">
        <v>23</v>
      </c>
      <c r="B23" s="11">
        <v>23</v>
      </c>
    </row>
    <row r="24" spans="1:2" x14ac:dyDescent="0.35">
      <c r="A24" s="11" t="s">
        <v>24</v>
      </c>
      <c r="B24" s="11">
        <v>25</v>
      </c>
    </row>
    <row r="25" spans="1:2" x14ac:dyDescent="0.35">
      <c r="A25" s="11" t="s">
        <v>25</v>
      </c>
      <c r="B25" s="11">
        <v>27</v>
      </c>
    </row>
    <row r="26" spans="1:2" x14ac:dyDescent="0.35">
      <c r="A26" s="11" t="s">
        <v>26</v>
      </c>
      <c r="B26" s="11">
        <v>16</v>
      </c>
    </row>
    <row r="27" spans="1:2" x14ac:dyDescent="0.35">
      <c r="A27" s="11" t="s">
        <v>27</v>
      </c>
      <c r="B27" s="11">
        <v>18</v>
      </c>
    </row>
    <row r="28" spans="1:2" x14ac:dyDescent="0.35">
      <c r="A28" s="11" t="s">
        <v>28</v>
      </c>
      <c r="B28" s="11">
        <v>17</v>
      </c>
    </row>
    <row r="29" spans="1:2" x14ac:dyDescent="0.35">
      <c r="A29" s="11" t="s">
        <v>29</v>
      </c>
      <c r="B29" s="11">
        <v>19</v>
      </c>
    </row>
    <row r="30" spans="1:2" x14ac:dyDescent="0.35">
      <c r="A30" s="11" t="s">
        <v>30</v>
      </c>
      <c r="B30" s="11">
        <v>21</v>
      </c>
    </row>
    <row r="31" spans="1:2" x14ac:dyDescent="0.35">
      <c r="A31" s="11" t="s">
        <v>31</v>
      </c>
      <c r="B31" s="11">
        <v>20</v>
      </c>
    </row>
    <row r="32" spans="1:2" x14ac:dyDescent="0.35">
      <c r="A32" s="11" t="s">
        <v>32</v>
      </c>
      <c r="B32" s="11">
        <v>23</v>
      </c>
    </row>
    <row r="33" spans="1:2" x14ac:dyDescent="0.35">
      <c r="A33" s="11" t="s">
        <v>33</v>
      </c>
      <c r="B33" s="11">
        <v>25</v>
      </c>
    </row>
    <row r="34" spans="1:2" x14ac:dyDescent="0.35">
      <c r="A34" s="11" t="s">
        <v>34</v>
      </c>
      <c r="B34" s="11">
        <v>24</v>
      </c>
    </row>
    <row r="35" spans="1:2" x14ac:dyDescent="0.35">
      <c r="A35" s="11" t="s">
        <v>35</v>
      </c>
      <c r="B35" s="11">
        <v>26</v>
      </c>
    </row>
    <row r="36" spans="1:2" x14ac:dyDescent="0.35">
      <c r="A36" s="11" t="s">
        <v>36</v>
      </c>
      <c r="B36" s="11">
        <v>28</v>
      </c>
    </row>
    <row r="37" spans="1:2" x14ac:dyDescent="0.35">
      <c r="A37" s="11" t="s">
        <v>37</v>
      </c>
      <c r="B37" s="11">
        <v>30</v>
      </c>
    </row>
    <row r="38" spans="1:2" x14ac:dyDescent="0.35">
      <c r="A38" s="11" t="s">
        <v>38</v>
      </c>
      <c r="B38" s="11">
        <v>18</v>
      </c>
    </row>
    <row r="39" spans="1:2" x14ac:dyDescent="0.35">
      <c r="A39" s="11" t="s">
        <v>39</v>
      </c>
      <c r="B39" s="11">
        <v>17</v>
      </c>
    </row>
    <row r="40" spans="1:2" x14ac:dyDescent="0.35">
      <c r="A40" s="11" t="s">
        <v>40</v>
      </c>
      <c r="B40" s="11">
        <v>20</v>
      </c>
    </row>
    <row r="41" spans="1:2" x14ac:dyDescent="0.35">
      <c r="A41" s="11" t="s">
        <v>41</v>
      </c>
      <c r="B41" s="11">
        <v>22</v>
      </c>
    </row>
    <row r="42" spans="1:2" x14ac:dyDescent="0.35">
      <c r="A42" s="11" t="s">
        <v>42</v>
      </c>
      <c r="B42" s="11">
        <v>21</v>
      </c>
    </row>
    <row r="43" spans="1:2" x14ac:dyDescent="0.35">
      <c r="A43" s="11" t="s">
        <v>43</v>
      </c>
      <c r="B43" s="11">
        <v>24</v>
      </c>
    </row>
    <row r="44" spans="1:2" x14ac:dyDescent="0.35">
      <c r="A44" s="11" t="s">
        <v>44</v>
      </c>
      <c r="B44" s="11">
        <v>26</v>
      </c>
    </row>
    <row r="45" spans="1:2" x14ac:dyDescent="0.35">
      <c r="A45" s="11" t="s">
        <v>45</v>
      </c>
      <c r="B45" s="11">
        <v>25</v>
      </c>
    </row>
    <row r="46" spans="1:2" x14ac:dyDescent="0.35">
      <c r="A46" s="11" t="s">
        <v>46</v>
      </c>
      <c r="B46" s="11">
        <v>27</v>
      </c>
    </row>
    <row r="47" spans="1:2" x14ac:dyDescent="0.35">
      <c r="A47" s="11" t="s">
        <v>47</v>
      </c>
      <c r="B47" s="11">
        <v>29</v>
      </c>
    </row>
    <row r="48" spans="1:2" x14ac:dyDescent="0.35">
      <c r="A48" s="11" t="s">
        <v>48</v>
      </c>
      <c r="B48" s="11">
        <v>30</v>
      </c>
    </row>
    <row r="49" spans="1:2" x14ac:dyDescent="0.35">
      <c r="A49" s="11" t="s">
        <v>49</v>
      </c>
      <c r="B49" s="11">
        <v>28</v>
      </c>
    </row>
    <row r="50" spans="1:2" x14ac:dyDescent="0.35">
      <c r="A50" s="11" t="s">
        <v>50</v>
      </c>
      <c r="B50" s="11">
        <v>19</v>
      </c>
    </row>
    <row r="51" spans="1:2" x14ac:dyDescent="0.35">
      <c r="A51" s="11" t="s">
        <v>51</v>
      </c>
      <c r="B51" s="11">
        <v>21</v>
      </c>
    </row>
    <row r="52" spans="1:2" x14ac:dyDescent="0.35">
      <c r="A52" s="11" t="s">
        <v>52</v>
      </c>
      <c r="B52" s="11">
        <v>20</v>
      </c>
    </row>
    <row r="53" spans="1:2" x14ac:dyDescent="0.35">
      <c r="A53" s="11" t="s">
        <v>53</v>
      </c>
      <c r="B53" s="11">
        <v>23</v>
      </c>
    </row>
    <row r="54" spans="1:2" x14ac:dyDescent="0.35">
      <c r="A54" s="11" t="s">
        <v>54</v>
      </c>
      <c r="B54" s="11">
        <v>25</v>
      </c>
    </row>
    <row r="55" spans="1:2" x14ac:dyDescent="0.35">
      <c r="A55" s="11" t="s">
        <v>55</v>
      </c>
      <c r="B55" s="11">
        <v>24</v>
      </c>
    </row>
    <row r="56" spans="1:2" x14ac:dyDescent="0.35">
      <c r="A56" s="11" t="s">
        <v>56</v>
      </c>
      <c r="B56" s="11">
        <v>27</v>
      </c>
    </row>
    <row r="57" spans="1:2" x14ac:dyDescent="0.35">
      <c r="A57" s="11" t="s">
        <v>57</v>
      </c>
      <c r="B57" s="11">
        <v>30</v>
      </c>
    </row>
    <row r="58" spans="1:2" x14ac:dyDescent="0.35">
      <c r="A58" s="11" t="s">
        <v>58</v>
      </c>
      <c r="B58" s="11">
        <v>28</v>
      </c>
    </row>
    <row r="59" spans="1:2" x14ac:dyDescent="0.35">
      <c r="A59" s="11" t="s">
        <v>59</v>
      </c>
      <c r="B59" s="11">
        <v>29</v>
      </c>
    </row>
    <row r="60" spans="1:2" x14ac:dyDescent="0.35">
      <c r="A60" s="11" t="s">
        <v>60</v>
      </c>
      <c r="B60" s="11">
        <v>27</v>
      </c>
    </row>
    <row r="61" spans="1:2" x14ac:dyDescent="0.35">
      <c r="A61" s="11" t="s">
        <v>61</v>
      </c>
      <c r="B61" s="11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7"/>
  <sheetViews>
    <sheetView workbookViewId="0">
      <selection activeCell="D11" sqref="D11"/>
    </sheetView>
  </sheetViews>
  <sheetFormatPr defaultRowHeight="14.5" x14ac:dyDescent="0.35"/>
  <cols>
    <col min="1" max="1" width="19.7265625" style="1" bestFit="1" customWidth="1"/>
    <col min="2" max="4" width="8.7265625" style="1"/>
    <col min="5" max="5" width="10.36328125" style="1" bestFit="1" customWidth="1"/>
    <col min="6" max="16384" width="8.7265625" style="1"/>
  </cols>
  <sheetData>
    <row r="1" spans="1:6" ht="15.5" customHeight="1" thickBot="1" x14ac:dyDescent="0.4">
      <c r="A1" s="2" t="s">
        <v>62</v>
      </c>
    </row>
    <row r="2" spans="1:6" ht="15" thickBot="1" x14ac:dyDescent="0.4">
      <c r="A2" s="35" t="s">
        <v>63</v>
      </c>
      <c r="B2" s="22" t="s">
        <v>64</v>
      </c>
      <c r="C2" s="22" t="s">
        <v>65</v>
      </c>
      <c r="D2" s="22" t="s">
        <v>66</v>
      </c>
      <c r="E2" s="22" t="s">
        <v>67</v>
      </c>
      <c r="F2" s="23">
        <f>0.05</f>
        <v>0.05</v>
      </c>
    </row>
    <row r="3" spans="1:6" x14ac:dyDescent="0.35">
      <c r="A3" s="44" t="s">
        <v>68</v>
      </c>
      <c r="B3" s="31"/>
      <c r="C3" s="31"/>
      <c r="D3" s="31"/>
      <c r="E3" s="31"/>
      <c r="F3" s="36"/>
    </row>
    <row r="4" spans="1:6" x14ac:dyDescent="0.35">
      <c r="A4" s="37" t="s">
        <v>69</v>
      </c>
      <c r="B4" s="26">
        <f>_xll.ADFTest(DATA!B2:B61,1,4,1,1,2)</f>
        <v>0.110891906287911</v>
      </c>
      <c r="C4" s="27">
        <f>_xll.ADFTest(DATA!B2:B61,1,4,1,1,1)</f>
        <v>0.64803515246084453</v>
      </c>
      <c r="D4" s="26">
        <f>_xll.ADFTest(DATA!B2:B61,1,4,1,1,3,$F$2)</f>
        <v>-1.9451811919935948</v>
      </c>
      <c r="E4" s="28" t="b">
        <f>IF($C4&lt;$F$2, TRUE, FALSE)</f>
        <v>0</v>
      </c>
      <c r="F4" s="36"/>
    </row>
    <row r="5" spans="1:6" x14ac:dyDescent="0.35">
      <c r="A5" s="38" t="s">
        <v>70</v>
      </c>
      <c r="B5" s="29">
        <f>_xll.ADFTest(DATA!B2:B61,1,4,2,1,2)</f>
        <v>-2.9130150750106418</v>
      </c>
      <c r="C5" s="30">
        <f>_xll.ADFTest(DATA!B2:B61,1,4,2,1,1)</f>
        <v>4.9338288199726361E-2</v>
      </c>
      <c r="D5" s="29">
        <f>_xll.ADFTest(DATA!B2:B61,1,4,2,1,3,$F$2)</f>
        <v>-2.9055399801441149</v>
      </c>
      <c r="E5" s="31" t="b">
        <f>IF($C5&lt;$F$2, TRUE, FALSE)</f>
        <v>1</v>
      </c>
      <c r="F5" s="36"/>
    </row>
    <row r="6" spans="1:6" x14ac:dyDescent="0.35">
      <c r="A6" s="37" t="s">
        <v>71</v>
      </c>
      <c r="B6" s="26">
        <f>_xll.ADFTest(DATA!B2:B61,1,4,4,1,2)</f>
        <v>-4.3226490190151505</v>
      </c>
      <c r="C6" s="27">
        <f>_xll.ADFTest(DATA!B2:B61,1,4,4,1,1)</f>
        <v>0.01</v>
      </c>
      <c r="D6" s="26">
        <f>_xll.ADFTest(DATA!B2:B61,1,4,4,1,3,$F$2)</f>
        <v>-3.4726842824659729</v>
      </c>
      <c r="E6" s="28" t="b">
        <f>IF($C6&lt;$F$2, TRUE, FALSE)</f>
        <v>1</v>
      </c>
      <c r="F6" s="36"/>
    </row>
    <row r="7" spans="1:6" ht="15" thickBot="1" x14ac:dyDescent="0.4">
      <c r="A7" s="39" t="s">
        <v>72</v>
      </c>
      <c r="B7" s="32">
        <f>_xll.ADFTest(DATA!B2:B61,1,4,5,1,2)</f>
        <v>-4.2355443625228046</v>
      </c>
      <c r="C7" s="33">
        <f>_xll.ADFTest(DATA!B2:B61,1,4,5,1,1)</f>
        <v>2.3091379347479613E-2</v>
      </c>
      <c r="D7" s="32">
        <f>_xll.ADFTest(DATA!B2:B61,1,4,5,1,3,$F$2)</f>
        <v>-3.9158976678943151</v>
      </c>
      <c r="E7" s="34" t="b">
        <f>IF($C7&lt;$F$2, TRUE, FALSE)</f>
        <v>1</v>
      </c>
      <c r="F7" s="40"/>
    </row>
  </sheetData>
  <pageMargins left="0.7" right="0.7" top="0.75" bottom="0.75" header="0.3" footer="0.3"/>
  <pageSetup orientation="portrait" horizontalDpi="4294967293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2"/>
  <sheetViews>
    <sheetView zoomScale="85" zoomScaleNormal="85" workbookViewId="0">
      <selection activeCell="H6" sqref="H6"/>
    </sheetView>
  </sheetViews>
  <sheetFormatPr defaultRowHeight="14.5" x14ac:dyDescent="0.35"/>
  <sheetData>
    <row r="1" spans="1:7" ht="15" thickBot="1" x14ac:dyDescent="0.4">
      <c r="A1" s="3" t="s">
        <v>73</v>
      </c>
    </row>
    <row r="2" spans="1:7" ht="15" thickBot="1" x14ac:dyDescent="0.4">
      <c r="A2" s="22" t="s">
        <v>74</v>
      </c>
      <c r="B2" s="22" t="s">
        <v>75</v>
      </c>
      <c r="C2" s="22" t="s">
        <v>76</v>
      </c>
      <c r="D2" s="22" t="s">
        <v>77</v>
      </c>
      <c r="E2" s="22" t="s">
        <v>78</v>
      </c>
      <c r="F2" s="22" t="s">
        <v>76</v>
      </c>
      <c r="G2" s="22" t="s">
        <v>77</v>
      </c>
    </row>
    <row r="3" spans="1:7" x14ac:dyDescent="0.35">
      <c r="A3" s="2">
        <v>1</v>
      </c>
      <c r="B3" s="5">
        <f>_xll.ACF(DATA!B2:B61,1,$A3,0)</f>
        <v>0.72060599679282589</v>
      </c>
      <c r="C3" s="5">
        <f>_xll.ACFCI(DATA!B2:B61,1,$A3,0,0.05,1)</f>
        <v>0.25303026237633192</v>
      </c>
      <c r="D3" s="5">
        <f>_xll.ACFCI(DATA!B2:B61,1,$A3,0,0.05,0)</f>
        <v>-0.25303026237633192</v>
      </c>
      <c r="E3" s="5">
        <f>_xll.PACF(DATA!B2:B61,1,$A3)</f>
        <v>0.72060599679282589</v>
      </c>
      <c r="F3" s="5">
        <f>_xll.PACFCI(DATA!B2:B61,1,$A3,0.05,1)</f>
        <v>0.25303026237633192</v>
      </c>
      <c r="G3" s="5">
        <f>_xll.PACFCI(DATA!B2:B61,1,$A3,0.05,0)</f>
        <v>-0.25303026237633192</v>
      </c>
    </row>
    <row r="4" spans="1:7" x14ac:dyDescent="0.35">
      <c r="A4" s="42">
        <v>2</v>
      </c>
      <c r="B4" s="43">
        <f>_xll.ACF(DATA!B2:B61,1,$A4,0)</f>
        <v>0.55686544205294186</v>
      </c>
      <c r="C4" s="43">
        <f>_xll.ACFCI(DATA!B2:B61,1,$A4,0,0.05,1)</f>
        <v>0.36127068644743832</v>
      </c>
      <c r="D4" s="43">
        <f>_xll.ACFCI(DATA!B2:B61,1,$A4,0,0.05,0)</f>
        <v>-0.36127068644743832</v>
      </c>
      <c r="E4" s="43">
        <f>_xll.PACF(DATA!B2:B61,1,$A4)</f>
        <v>7.8199143471357341E-2</v>
      </c>
      <c r="F4" s="43">
        <f>_xll.PACFCI(DATA!B2:B61,1,$A4,0.05,1)</f>
        <v>0.25303026237633192</v>
      </c>
      <c r="G4" s="43">
        <f>_xll.PACFCI(DATA!B2:B61,1,$A4,0.05,0)</f>
        <v>-0.25303026237633192</v>
      </c>
    </row>
    <row r="5" spans="1:7" x14ac:dyDescent="0.35">
      <c r="A5" s="2">
        <v>3</v>
      </c>
      <c r="B5" s="5">
        <f>_xll.ACF(DATA!B2:B61,1,$A5,0)</f>
        <v>0.37738761299554835</v>
      </c>
      <c r="C5" s="5">
        <f>_xll.ACFCI(DATA!B2:B61,1,$A5,0,0.05,1)</f>
        <v>0.41258244705445285</v>
      </c>
      <c r="D5" s="5">
        <f>_xll.ACFCI(DATA!B2:B61,1,$A5,0,0.05,0)</f>
        <v>-0.41258244705445285</v>
      </c>
      <c r="E5" s="5">
        <f>_xll.PACF(DATA!B2:B61,1,$A5)</f>
        <v>-0.10227132071290809</v>
      </c>
      <c r="F5" s="5">
        <f>_xll.PACFCI(DATA!B2:B61,1,$A5,0.05,1)</f>
        <v>0.25303026237633192</v>
      </c>
      <c r="G5" s="5">
        <f>_xll.PACFCI(DATA!B2:B61,1,$A5,0.05,0)</f>
        <v>-0.25303026237633192</v>
      </c>
    </row>
    <row r="6" spans="1:7" x14ac:dyDescent="0.35">
      <c r="A6" s="42">
        <v>4</v>
      </c>
      <c r="B6" s="43">
        <f>_xll.ACF(DATA!B2:B61,1,$A6,0)</f>
        <v>0.26310377486131792</v>
      </c>
      <c r="C6" s="43">
        <f>_xll.ACFCI(DATA!B2:B61,1,$A6,0,0.05,1)</f>
        <v>0.43412111412688997</v>
      </c>
      <c r="D6" s="43">
        <f>_xll.ACFCI(DATA!B2:B61,1,$A6,0,0.05,0)</f>
        <v>-0.43412111412688997</v>
      </c>
      <c r="E6" s="43">
        <f>_xll.PACF(DATA!B2:B61,1,$A6)</f>
        <v>3.6477037531557166E-3</v>
      </c>
      <c r="F6" s="43">
        <f>_xll.PACFCI(DATA!B2:B61,1,$A6,0.05,1)</f>
        <v>0.25303026237633192</v>
      </c>
      <c r="G6" s="43">
        <f>_xll.PACFCI(DATA!B2:B61,1,$A6,0.05,0)</f>
        <v>-0.25303026237633192</v>
      </c>
    </row>
    <row r="7" spans="1:7" x14ac:dyDescent="0.35">
      <c r="A7" s="2">
        <v>5</v>
      </c>
      <c r="B7" s="5">
        <f>_xll.ACF(DATA!B2:B61,1,$A7,0)</f>
        <v>0.16547183645584718</v>
      </c>
      <c r="C7" s="5">
        <f>_xll.ACFCI(DATA!B2:B61,1,$A7,0,0.05,1)</f>
        <v>0.44421293117556943</v>
      </c>
      <c r="D7" s="5">
        <f>_xll.ACFCI(DATA!B2:B61,1,$A7,0,0.05,0)</f>
        <v>-0.44421293117556943</v>
      </c>
      <c r="E7" s="5">
        <f>_xll.PACF(DATA!B2:B61,1,$A7)</f>
        <v>-2.2754555998870309E-2</v>
      </c>
      <c r="F7" s="5">
        <f>_xll.PACFCI(DATA!B2:B61,1,$A7,0.05,1)</f>
        <v>0.25303026237633192</v>
      </c>
      <c r="G7" s="5">
        <f>_xll.PACFCI(DATA!B2:B61,1,$A7,0.05,0)</f>
        <v>-0.25303026237633192</v>
      </c>
    </row>
    <row r="8" spans="1:7" x14ac:dyDescent="0.35">
      <c r="A8" s="42">
        <v>6</v>
      </c>
      <c r="B8" s="43">
        <f>_xll.ACF(DATA!B2:B61,1,$A8,0)</f>
        <v>7.4407894205586342E-2</v>
      </c>
      <c r="C8" s="43">
        <f>_xll.ACFCI(DATA!B2:B61,1,$A8,0,0.05,1)</f>
        <v>0.44814196250101218</v>
      </c>
      <c r="D8" s="43">
        <f>_xll.ACFCI(DATA!B2:B61,1,$A8,0,0.05,0)</f>
        <v>-0.44814196250101218</v>
      </c>
      <c r="E8" s="43">
        <f>_xll.PACF(DATA!B2:B61,1,$A8)</f>
        <v>-6.4489250594143968E-2</v>
      </c>
      <c r="F8" s="43">
        <f>_xll.PACFCI(DATA!B2:B61,1,$A8,0.05,1)</f>
        <v>0.25303026237633192</v>
      </c>
      <c r="G8" s="43">
        <f>_xll.PACFCI(DATA!B2:B61,1,$A8,0.05,0)</f>
        <v>-0.25303026237633192</v>
      </c>
    </row>
    <row r="9" spans="1:7" x14ac:dyDescent="0.35">
      <c r="A9" s="2">
        <v>7</v>
      </c>
      <c r="B9" s="5">
        <f>_xll.ACF(DATA!B2:B61,1,$A9,0)</f>
        <v>0.1141930269106257</v>
      </c>
      <c r="C9" s="5">
        <f>_xll.ACFCI(DATA!B2:B61,1,$A9,0,0.05,1)</f>
        <v>0.44893224903706808</v>
      </c>
      <c r="D9" s="5">
        <f>_xll.ACFCI(DATA!B2:B61,1,$A9,0,0.05,0)</f>
        <v>-0.44893224903706808</v>
      </c>
      <c r="E9" s="5">
        <f>_xll.PACF(DATA!B2:B61,1,$A9)</f>
        <v>0.19783299524916109</v>
      </c>
      <c r="F9" s="5">
        <f>_xll.PACFCI(DATA!B2:B61,1,$A9,0.05,1)</f>
        <v>0.25303026237633192</v>
      </c>
      <c r="G9" s="5">
        <f>_xll.PACFCI(DATA!B2:B61,1,$A9,0.05,0)</f>
        <v>-0.25303026237633192</v>
      </c>
    </row>
    <row r="10" spans="1:7" x14ac:dyDescent="0.35">
      <c r="A10" s="42">
        <v>8</v>
      </c>
      <c r="B10" s="43">
        <f>_xll.ACF(DATA!B2:B61,1,$A10,0)</f>
        <v>0.16737683855255342</v>
      </c>
      <c r="C10" s="43">
        <f>_xll.ACFCI(DATA!B2:B61,1,$A10,0,0.05,1)</f>
        <v>0.4507881147446931</v>
      </c>
      <c r="D10" s="43">
        <f>_xll.ACFCI(DATA!B2:B61,1,$A10,0,0.05,0)</f>
        <v>-0.4507881147446931</v>
      </c>
      <c r="E10" s="43">
        <f>_xll.PACF(DATA!B2:B61,1,$A10)</f>
        <v>0.12136198508893505</v>
      </c>
      <c r="F10" s="43">
        <f>_xll.PACFCI(DATA!B2:B61,1,$A10,0.05,1)</f>
        <v>0.25303026237633192</v>
      </c>
      <c r="G10" s="43">
        <f>_xll.PACFCI(DATA!B2:B61,1,$A10,0.05,0)</f>
        <v>-0.25303026237633192</v>
      </c>
    </row>
    <row r="11" spans="1:7" x14ac:dyDescent="0.35">
      <c r="A11" s="2">
        <v>9</v>
      </c>
      <c r="B11" s="5">
        <f>_xll.ACF(DATA!B2:B61,1,$A11,0)</f>
        <v>0.20730934840054902</v>
      </c>
      <c r="C11" s="5">
        <f>_xll.ACFCI(DATA!B2:B61,1,$A11,0,0.05,1)</f>
        <v>0.45474960964193745</v>
      </c>
      <c r="D11" s="5">
        <f>_xll.ACFCI(DATA!B2:B61,1,$A11,0,0.05,0)</f>
        <v>-0.45474960964193745</v>
      </c>
      <c r="E11" s="5">
        <f>_xll.PACF(DATA!B2:B61,1,$A11)</f>
        <v>1.6172165874892935E-2</v>
      </c>
      <c r="F11" s="5">
        <f>_xll.PACFCI(DATA!B2:B61,1,$A11,0.05,1)</f>
        <v>0.25303026237633192</v>
      </c>
      <c r="G11" s="5">
        <f>_xll.PACFCI(DATA!B2:B61,1,$A11,0.05,0)</f>
        <v>-0.25303026237633192</v>
      </c>
    </row>
    <row r="12" spans="1:7" x14ac:dyDescent="0.35">
      <c r="A12" s="42">
        <v>10</v>
      </c>
      <c r="B12" s="43">
        <f>_xll.ACF(DATA!B2:B61,1,$A12,0)</f>
        <v>0.36191954469020821</v>
      </c>
      <c r="C12" s="43">
        <f>_xll.ACFCI(DATA!B2:B61,1,$A12,0,0.05,1)</f>
        <v>0.46076064781516202</v>
      </c>
      <c r="D12" s="43">
        <f>_xll.ACFCI(DATA!B2:B61,1,$A12,0,0.05,0)</f>
        <v>-0.46076064781516202</v>
      </c>
      <c r="E12" s="43">
        <f>_xll.PACF(DATA!B2:B61,1,$A12)</f>
        <v>0.33000877629349878</v>
      </c>
      <c r="F12" s="43">
        <f>_xll.PACFCI(DATA!B2:B61,1,$A12,0.05,1)</f>
        <v>0.25303026237633192</v>
      </c>
      <c r="G12" s="43">
        <f>_xll.PACFCI(DATA!B2:B61,1,$A12,0.05,0)</f>
        <v>-0.25303026237633192</v>
      </c>
    </row>
    <row r="13" spans="1:7" x14ac:dyDescent="0.35">
      <c r="A13" s="2">
        <v>11</v>
      </c>
      <c r="B13" s="5">
        <f>_xll.ACF(DATA!B2:B61,1,$A13,0)</f>
        <v>0.4664005440919658</v>
      </c>
      <c r="C13" s="5">
        <f>_xll.ACFCI(DATA!B2:B61,1,$A13,0,0.05,1)</f>
        <v>0.47861562964472848</v>
      </c>
      <c r="D13" s="5">
        <f>_xll.ACFCI(DATA!B2:B61,1,$A13,0,0.05,0)</f>
        <v>-0.47861562964472848</v>
      </c>
      <c r="E13" s="5">
        <f>_xll.PACF(DATA!B2:B61,1,$A13)</f>
        <v>0.16738467472749108</v>
      </c>
      <c r="F13" s="5">
        <f>_xll.PACFCI(DATA!B2:B61,1,$A13,0.05,1)</f>
        <v>0.25303026237633192</v>
      </c>
      <c r="G13" s="5">
        <f>_xll.PACFCI(DATA!B2:B61,1,$A13,0.05,0)</f>
        <v>-0.25303026237633192</v>
      </c>
    </row>
    <row r="14" spans="1:7" x14ac:dyDescent="0.35">
      <c r="A14" s="42">
        <v>12</v>
      </c>
      <c r="B14" s="43">
        <f>_xll.ACF(DATA!B2:B61,1,$A14,0)</f>
        <v>0.62582994940135639</v>
      </c>
      <c r="C14" s="43">
        <f>_xll.ACFCI(DATA!B2:B61,1,$A14,0,0.05,1)</f>
        <v>0.50687993713198831</v>
      </c>
      <c r="D14" s="43">
        <f>_xll.ACFCI(DATA!B2:B61,1,$A14,0,0.05,0)</f>
        <v>-0.50687993713198831</v>
      </c>
      <c r="E14" s="43">
        <f>_xll.PACF(DATA!B2:B61,1,$A14)</f>
        <v>0.30191209117528262</v>
      </c>
      <c r="F14" s="43">
        <f>_xll.PACFCI(DATA!B2:B61,1,$A14,0.05,1)</f>
        <v>0.25303026237633192</v>
      </c>
      <c r="G14" s="43">
        <f>_xll.PACFCI(DATA!B2:B61,1,$A14,0.05,0)</f>
        <v>-0.25303026237633192</v>
      </c>
    </row>
    <row r="15" spans="1:7" x14ac:dyDescent="0.35">
      <c r="A15" s="2">
        <v>13</v>
      </c>
      <c r="B15" s="5">
        <f>_xll.ACF(DATA!B2:B61,1,$A15,0)</f>
        <v>0.43985389285592091</v>
      </c>
      <c r="C15" s="5">
        <f>_xll.ACFCI(DATA!B2:B61,1,$A15,0,0.05,1)</f>
        <v>0.55414726948891302</v>
      </c>
      <c r="D15" s="5">
        <f>_xll.ACFCI(DATA!B2:B61,1,$A15,0,0.05,0)</f>
        <v>-0.55414726948891302</v>
      </c>
      <c r="E15" s="5">
        <f>_xll.PACF(DATA!B2:B61,1,$A15)</f>
        <v>-0.44606621121351647</v>
      </c>
      <c r="F15" s="5">
        <f>_xll.PACFCI(DATA!B2:B61,1,$A15,0.05,1)</f>
        <v>0.25303026237633192</v>
      </c>
      <c r="G15" s="5">
        <f>_xll.PACFCI(DATA!B2:B61,1,$A15,0.05,0)</f>
        <v>-0.25303026237633192</v>
      </c>
    </row>
    <row r="16" spans="1:7" x14ac:dyDescent="0.35">
      <c r="A16" s="42">
        <v>14</v>
      </c>
      <c r="B16" s="43">
        <f>_xll.ACF(DATA!B2:B61,1,$A16,0)</f>
        <v>0.29748817752558621</v>
      </c>
      <c r="C16" s="43">
        <f>_xll.ACFCI(DATA!B2:B61,1,$A16,0,0.05,1)</f>
        <v>0.57606679257772375</v>
      </c>
      <c r="D16" s="43">
        <f>_xll.ACFCI(DATA!B2:B61,1,$A16,0,0.05,0)</f>
        <v>-0.57606679257772375</v>
      </c>
      <c r="E16" s="43">
        <f>_xll.PACF(DATA!B2:B61,1,$A16)</f>
        <v>-0.16911281669093056</v>
      </c>
      <c r="F16" s="43">
        <f>_xll.PACFCI(DATA!B2:B61,1,$A16,0.05,1)</f>
        <v>0.25303026237633192</v>
      </c>
      <c r="G16" s="43">
        <f>_xll.PACFCI(DATA!B2:B61,1,$A16,0.05,0)</f>
        <v>-0.25303026237633192</v>
      </c>
    </row>
    <row r="17" spans="1:7" x14ac:dyDescent="0.35">
      <c r="A17" s="2">
        <v>15</v>
      </c>
      <c r="B17" s="5">
        <f>_xll.ACF(DATA!B2:B61,1,$A17,0)</f>
        <v>0.14843585783350555</v>
      </c>
      <c r="C17" s="5">
        <f>_xll.ACFCI(DATA!B2:B61,1,$A17,0,0.05,1)</f>
        <v>0.58582006846124524</v>
      </c>
      <c r="D17" s="5">
        <f>_xll.ACFCI(DATA!B2:B61,1,$A17,0,0.05,0)</f>
        <v>-0.58582006846124524</v>
      </c>
      <c r="E17" s="5">
        <f>_xll.PACF(DATA!B2:B61,1,$A17)</f>
        <v>-0.10232832882492708</v>
      </c>
      <c r="F17" s="5">
        <f>_xll.PACFCI(DATA!B2:B61,1,$A17,0.05,1)</f>
        <v>0.25303026237633192</v>
      </c>
      <c r="G17" s="5">
        <f>_xll.PACFCI(DATA!B2:B61,1,$A17,0.05,0)</f>
        <v>-0.25303026237633192</v>
      </c>
    </row>
    <row r="18" spans="1:7" x14ac:dyDescent="0.35">
      <c r="A18" s="42">
        <v>16</v>
      </c>
      <c r="B18" s="43">
        <f>_xll.ACF(DATA!B2:B61,1,$A18,0)</f>
        <v>7.4233931825725311E-2</v>
      </c>
      <c r="C18" s="43">
        <f>_xll.ACFCI(DATA!B2:B61,1,$A18,0,0.05,1)</f>
        <v>0.5882231499409184</v>
      </c>
      <c r="D18" s="43">
        <f>_xll.ACFCI(DATA!B2:B61,1,$A18,0,0.05,0)</f>
        <v>-0.5882231499409184</v>
      </c>
      <c r="E18" s="43">
        <f>_xll.PACF(DATA!B2:B61,1,$A18)</f>
        <v>0.13111430976304556</v>
      </c>
      <c r="F18" s="43">
        <f>_xll.PACFCI(DATA!B2:B61,1,$A18,0.05,1)</f>
        <v>0.25303026237633192</v>
      </c>
      <c r="G18" s="43">
        <f>_xll.PACFCI(DATA!B2:B61,1,$A18,0.05,0)</f>
        <v>-0.25303026237633192</v>
      </c>
    </row>
    <row r="19" spans="1:7" x14ac:dyDescent="0.35">
      <c r="A19" s="2">
        <v>17</v>
      </c>
      <c r="B19" s="5">
        <f>_xll.ACF(DATA!B2:B61,1,$A19,0)</f>
        <v>2.0798482210003629E-2</v>
      </c>
      <c r="C19" s="5">
        <f>_xll.ACFCI(DATA!B2:B61,1,$A19,0,0.05,1)</f>
        <v>0.58882264622315983</v>
      </c>
      <c r="D19" s="5">
        <f>_xll.ACFCI(DATA!B2:B61,1,$A19,0,0.05,0)</f>
        <v>-0.58882264622315983</v>
      </c>
      <c r="E19" s="5">
        <f>_xll.PACF(DATA!B2:B61,1,$A19)</f>
        <v>8.3962777193625771E-2</v>
      </c>
      <c r="F19" s="5">
        <f>_xll.PACFCI(DATA!B2:B61,1,$A19,0.05,1)</f>
        <v>0.25303026237633192</v>
      </c>
      <c r="G19" s="5">
        <f>_xll.PACFCI(DATA!B2:B61,1,$A19,0.05,0)</f>
        <v>-0.25303026237633192</v>
      </c>
    </row>
    <row r="20" spans="1:7" x14ac:dyDescent="0.35">
      <c r="A20" s="42">
        <v>18</v>
      </c>
      <c r="B20" s="43">
        <f>_xll.ACF(DATA!B2:B61,1,$A20,0)</f>
        <v>-4.1748836318054518E-2</v>
      </c>
      <c r="C20" s="43">
        <f>_xll.ACFCI(DATA!B2:B61,1,$A20,0,0.05,1)</f>
        <v>0.58886967962247849</v>
      </c>
      <c r="D20" s="43">
        <f>_xll.ACFCI(DATA!B2:B61,1,$A20,0,0.05,0)</f>
        <v>-0.58886967962247849</v>
      </c>
      <c r="E20" s="43">
        <f>_xll.PACF(DATA!B2:B61,1,$A20)</f>
        <v>-1.3711091854190746E-2</v>
      </c>
      <c r="F20" s="43">
        <f>_xll.PACFCI(DATA!B2:B61,1,$A20,0.05,1)</f>
        <v>0.25303026237633192</v>
      </c>
      <c r="G20" s="43">
        <f>_xll.PACFCI(DATA!B2:B61,1,$A20,0.05,0)</f>
        <v>-0.25303026237633192</v>
      </c>
    </row>
    <row r="21" spans="1:7" x14ac:dyDescent="0.35">
      <c r="A21" s="2">
        <v>19</v>
      </c>
      <c r="B21" s="5">
        <f>_xll.ACF(DATA!B2:B61,1,$A21,0)</f>
        <v>-1.4694085803463448E-2</v>
      </c>
      <c r="C21" s="5">
        <f>_xll.ACFCI(DATA!B2:B61,1,$A21,0,0.05,1)</f>
        <v>0.58905915144170184</v>
      </c>
      <c r="D21" s="5">
        <f>_xll.ACFCI(DATA!B2:B61,1,$A21,0,0.05,0)</f>
        <v>-0.58905915144170184</v>
      </c>
      <c r="E21" s="5">
        <f>_xll.PACF(DATA!B2:B61,1,$A21)</f>
        <v>-4.1346795696211532E-2</v>
      </c>
      <c r="F21" s="5">
        <f>_xll.PACFCI(DATA!B2:B61,1,$A21,0.05,1)</f>
        <v>0.25303026237633192</v>
      </c>
      <c r="G21" s="5">
        <f>_xll.PACFCI(DATA!B2:B61,1,$A21,0.05,0)</f>
        <v>-0.25303026237633192</v>
      </c>
    </row>
    <row r="22" spans="1:7" x14ac:dyDescent="0.35">
      <c r="A22" s="42">
        <v>20</v>
      </c>
      <c r="B22" s="43">
        <f>_xll.ACF(DATA!B2:B61,1,$A22,0)</f>
        <v>4.0036003600360033E-2</v>
      </c>
      <c r="C22" s="43">
        <f>_xll.ACFCI(DATA!B2:B61,1,$A22,0,0.05,1)</f>
        <v>0.5890826187088043</v>
      </c>
      <c r="D22" s="43">
        <f>_xll.ACFCI(DATA!B2:B61,1,$A22,0,0.05,0)</f>
        <v>-0.5890826187088043</v>
      </c>
      <c r="E22" s="43">
        <f>_xll.PACF(DATA!B2:B61,1,$A22)</f>
        <v>-7.3916854324246762E-3</v>
      </c>
      <c r="F22" s="43">
        <f>_xll.PACFCI(DATA!B2:B61,1,$A22,0.05,1)</f>
        <v>0.25303026237633192</v>
      </c>
      <c r="G22" s="43">
        <f>_xll.PACFCI(DATA!B2:B61,1,$A22,0.05,0)</f>
        <v>-0.25303026237633192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2"/>
  <sheetViews>
    <sheetView zoomScale="90" zoomScaleNormal="90" workbookViewId="0">
      <selection activeCell="J12" sqref="J12"/>
    </sheetView>
  </sheetViews>
  <sheetFormatPr defaultRowHeight="14.5" x14ac:dyDescent="0.35"/>
  <sheetData>
    <row r="1" spans="1:16" ht="15" thickBot="1" x14ac:dyDescent="0.4">
      <c r="A1" s="3" t="str">
        <f>_xll.ARIMA(0,$C$3,$C$6,$C$4,$C$5)</f>
        <v>ARIMA(1,0,1)</v>
      </c>
      <c r="E1" s="3" t="s">
        <v>86</v>
      </c>
      <c r="J1" s="63" t="s">
        <v>90</v>
      </c>
      <c r="K1" s="63"/>
      <c r="L1" s="63"/>
      <c r="M1" s="63"/>
    </row>
    <row r="2" spans="1:16" ht="15" thickBot="1" x14ac:dyDescent="0.4">
      <c r="A2" s="4"/>
      <c r="B2" s="51" t="s">
        <v>79</v>
      </c>
      <c r="C2" s="52" t="s">
        <v>80</v>
      </c>
      <c r="E2" s="58" t="s">
        <v>87</v>
      </c>
      <c r="F2" s="57" t="s">
        <v>88</v>
      </c>
      <c r="G2" s="59" t="s">
        <v>89</v>
      </c>
      <c r="J2" s="65" t="s">
        <v>93</v>
      </c>
      <c r="K2" s="64" t="s">
        <v>94</v>
      </c>
      <c r="L2" s="64" t="s">
        <v>95</v>
      </c>
      <c r="M2" s="64" t="s">
        <v>96</v>
      </c>
      <c r="N2" s="64" t="s">
        <v>97</v>
      </c>
      <c r="O2" s="64" t="s">
        <v>98</v>
      </c>
      <c r="P2" s="66" t="s">
        <v>99</v>
      </c>
    </row>
    <row r="3" spans="1:16" ht="15" thickBot="1" x14ac:dyDescent="0.4">
      <c r="B3" s="48" t="s">
        <v>81</v>
      </c>
      <c r="C3" s="49">
        <v>21.633333333333333</v>
      </c>
      <c r="E3" s="60">
        <f>_xll.ARIMA_GOF(DATA!B2:B61,1,$C$8,$C$3,$C$6,$C$4,$C$5,1)</f>
        <v>-163.13213751003343</v>
      </c>
      <c r="F3" s="61">
        <f>_xll.ARIMA_GOF(DATA!B2:B61,1,$C$8,$C$3,$C$6,$C$4,$C$5,2)</f>
        <v>334.26427502006686</v>
      </c>
      <c r="G3" s="62">
        <f>_xll.ARIMA_CHECK($C$3,$C$6,$C$4,$C$5)</f>
        <v>1</v>
      </c>
      <c r="J3" s="69">
        <f>AVERAGE(_xll.RMNA(_xll.ARIMA_FIT(DATA!B2:B61,1,$C$8,$C$3,$C$6,$C$4,$C$5,4)))</f>
        <v>4.3281063515858295E-2</v>
      </c>
      <c r="K3" s="70">
        <f>STDEV(_xll.RMNA(_xll.ARIMA_FIT(DATA!B2:B61,1,$C$8,$C$3,$C$6,$C$4,$C$5,4)))</f>
        <v>0.86879616477345301</v>
      </c>
      <c r="L3" s="70">
        <f>SKEW(_xll.RMNA(_xll.ARIMA_FIT(DATA!B2:B61,1,$C$8,$C$3,$C$6,$C$4,$C$5,4)))</f>
        <v>-1.4407384663570109</v>
      </c>
      <c r="M3" s="70">
        <f>KURT(_xll.RMNA(_xll.ARIMA_FIT(DATA!B2:B61,1,$C$8,$C$3,$C$6,$C$4,$C$5,4)))</f>
        <v>2.1055769890534104</v>
      </c>
      <c r="N3" s="70" t="b">
        <f>IF(_xll.WNTest(_xll.RMNA(_xll.ARIMA_FIT(DATA!B2:B61,1,$C$8,$C$3,$C$6,$C$4,$C$5,4)),1) &gt;0.05, TRUE, FALSE)</f>
        <v>1</v>
      </c>
      <c r="O3" s="70" t="b">
        <f>IF(_xll.NormalityTest(_xll.RMNA(_xll.ARIMA_FIT(DATA!B2:B61,1,$C$8,$C$3,$C$6,$C$4,$C$5,4)),1) &gt;0.05, TRUE, FALSE)</f>
        <v>0</v>
      </c>
      <c r="P3" s="71" t="b">
        <f>IF(_xll.ARCHTest(_xll.RMNA(_xll.ARIMA_FIT(DATA!B2:B61,1,$C$8,$C$3,$C$6,$C$4,$C$5,4)),1) &lt;0.05, TRUE, FALSE)</f>
        <v>0</v>
      </c>
    </row>
    <row r="4" spans="1:16" ht="16.5" x14ac:dyDescent="0.45">
      <c r="B4" s="53" t="s">
        <v>82</v>
      </c>
      <c r="C4" s="54">
        <v>0.73510070835035024</v>
      </c>
      <c r="I4" s="6" t="s">
        <v>91</v>
      </c>
      <c r="J4" s="67">
        <v>0</v>
      </c>
      <c r="K4" s="68">
        <v>1</v>
      </c>
      <c r="L4" s="68">
        <v>0</v>
      </c>
      <c r="M4" s="68">
        <v>0</v>
      </c>
      <c r="N4" s="24"/>
      <c r="O4" s="24"/>
      <c r="P4" s="25"/>
    </row>
    <row r="5" spans="1:16" ht="17" thickBot="1" x14ac:dyDescent="0.5">
      <c r="B5" s="48" t="s">
        <v>83</v>
      </c>
      <c r="C5" s="49">
        <v>-7.6273829414269245E-2</v>
      </c>
      <c r="I5" s="6" t="s">
        <v>92</v>
      </c>
      <c r="J5" s="72" t="b">
        <f>IF( _xll.TEST_MEAN(_xll.RMNA(_xll.ARIMA_FIT(DATA!B2:B61,1,$C$8,$C$3,$C$6,$C$4,$C$5,4)),J4) &gt;0.05/2, FALSE, TRUE)</f>
        <v>0</v>
      </c>
      <c r="K5" s="73" t="b">
        <f>IF( _xll.TEST_STDEV(_xll.RMNA(_xll.ARIMA_FIT(DATA!B2:B61,1,$C$8,$C$3,$C$6,$C$4,$C$5,4)),K4) &gt;0.05, FALSE, TRUE)</f>
        <v>0</v>
      </c>
      <c r="L5" s="73" t="b">
        <f>IF( _xll.TEST_SKEW(_xll.RMNA(_xll.ARIMA_FIT(DATA!B2:B61,1,$C$8,$C$3,$C$6,$C$4,$C$5,4))) &gt;0.05/2, FALSE, TRUE)</f>
        <v>1</v>
      </c>
      <c r="M5" s="73" t="b">
        <f>IF( _xll.TEST_XKURT(_xll.RMNA(_xll.ARIMA_FIT(DATA!B2:B61,1,$C$8,$C$3,$C$6,$C$4,$C$5,4))) &gt;0.05/2, FALSE, TRUE)</f>
        <v>1</v>
      </c>
      <c r="N5" s="74"/>
      <c r="O5" s="74"/>
      <c r="P5" s="75"/>
    </row>
    <row r="6" spans="1:16" x14ac:dyDescent="0.35">
      <c r="B6" s="53" t="s">
        <v>84</v>
      </c>
      <c r="C6" s="54">
        <v>3.746130575936415</v>
      </c>
    </row>
    <row r="7" spans="1:16" x14ac:dyDescent="0.35">
      <c r="B7" s="50"/>
      <c r="C7" s="25"/>
    </row>
    <row r="8" spans="1:16" ht="15" thickBot="1" x14ac:dyDescent="0.4">
      <c r="B8" s="55" t="s">
        <v>85</v>
      </c>
      <c r="C8" s="56">
        <v>0</v>
      </c>
    </row>
    <row r="9" spans="1:16" ht="15" thickBot="1" x14ac:dyDescent="0.4"/>
    <row r="10" spans="1:16" ht="15" thickBot="1" x14ac:dyDescent="0.4">
      <c r="A10" s="45" t="s">
        <v>100</v>
      </c>
      <c r="B10" s="45" t="s">
        <v>101</v>
      </c>
      <c r="C10" s="45" t="s">
        <v>102</v>
      </c>
      <c r="D10" s="45" t="s">
        <v>76</v>
      </c>
      <c r="E10" s="45" t="s">
        <v>77</v>
      </c>
    </row>
    <row r="11" spans="1:16" x14ac:dyDescent="0.35">
      <c r="A11" s="2">
        <v>1</v>
      </c>
      <c r="B11" s="1">
        <f>_xll.ARIMA_FORE(DATA!$B$2:$B$61,1,0,$C$3,$C$6,$C$4,$C$5,$A11,1,0.05)</f>
        <v>27.445492594853221</v>
      </c>
      <c r="C11" s="1">
        <f>_xll.ARIMA_FORE(DATA!$B$2:$B$61,1,0,$C$3,$C$6,$C$4,$C$5,$A11,2,0.05)</f>
        <v>3.746130575936415</v>
      </c>
      <c r="D11" s="1">
        <f>_xll.ARIMA_FORE(DATA!$B$2:$B$61,1,0,$C$3,$C$6,$C$4,$C$5,$A11,5,0.05)</f>
        <v>34.787773605072886</v>
      </c>
      <c r="E11" s="1">
        <f>_xll.ARIMA_FORE(DATA!$B$2:$B$61,1,0,$C$3,$C$6,$C$4,$C$5,$A11,4,0.05)</f>
        <v>20.103211584633559</v>
      </c>
    </row>
    <row r="12" spans="1:16" x14ac:dyDescent="0.35">
      <c r="A12" s="41">
        <v>2</v>
      </c>
      <c r="B12" s="46">
        <f>_xll.ARIMA_FORE(DATA!$B$2:$B$61,1,0,$C$3,$C$6,$C$4,$C$5,$A12,1,0.05)</f>
        <v>25.90585572352165</v>
      </c>
      <c r="C12" s="46">
        <f>_xll.ARIMA_FORE(DATA!$B$2:$B$61,1,0,$C$3,$C$6,$C$4,$C$5,$A12,2,0.05)</f>
        <v>4.4860642633368499</v>
      </c>
      <c r="D12" s="46">
        <f>_xll.ARIMA_FORE(DATA!$B$2:$B$61,1,0,$C$3,$C$6,$C$4,$C$5,$A12,5,0.05)</f>
        <v>34.698380111994084</v>
      </c>
      <c r="E12" s="46">
        <f>_xll.ARIMA_FORE(DATA!$B$2:$B$61,1,0,$C$3,$C$6,$C$4,$C$5,$A12,4,0.05)</f>
        <v>17.113331335049217</v>
      </c>
    </row>
    <row r="13" spans="1:16" x14ac:dyDescent="0.35">
      <c r="A13" s="2">
        <v>3</v>
      </c>
      <c r="B13" s="1">
        <f>_xll.ARIMA_FORE(DATA!$B$2:$B$61,1,0,$C$3,$C$6,$C$4,$C$5,$A13,1,0.05)</f>
        <v>24.774067568803495</v>
      </c>
      <c r="C13" s="1">
        <f>_xll.ARIMA_FORE(DATA!$B$2:$B$61,1,0,$C$3,$C$6,$C$4,$C$5,$A13,2,0.05)</f>
        <v>4.839042798685286</v>
      </c>
      <c r="D13" s="1">
        <f>_xll.ARIMA_FORE(DATA!$B$2:$B$61,1,0,$C$3,$C$6,$C$4,$C$5,$A13,5,0.05)</f>
        <v>34.258417173874562</v>
      </c>
      <c r="E13" s="1">
        <f>_xll.ARIMA_FORE(DATA!$B$2:$B$61,1,0,$C$3,$C$6,$C$4,$C$5,$A13,4,0.05)</f>
        <v>15.289717963732429</v>
      </c>
    </row>
    <row r="14" spans="1:16" x14ac:dyDescent="0.35">
      <c r="A14" s="42">
        <v>4</v>
      </c>
      <c r="B14" s="47">
        <f>_xll.ARIMA_FORE(DATA!$B$2:$B$61,1,0,$C$3,$C$6,$C$4,$C$5,$A14,1,0.05)</f>
        <v>23.942089294567644</v>
      </c>
      <c r="C14" s="47">
        <f>_xll.ARIMA_FORE(DATA!$B$2:$B$61,1,0,$C$3,$C$6,$C$4,$C$5,$A14,2,0.05)</f>
        <v>5.0194628150113418</v>
      </c>
      <c r="D14" s="47">
        <f>_xll.ARIMA_FORE(DATA!$B$2:$B$61,1,0,$C$3,$C$6,$C$4,$C$5,$A14,5,0.05)</f>
        <v>33.780055633727912</v>
      </c>
      <c r="E14" s="47">
        <f>_xll.ARIMA_FORE(DATA!$B$2:$B$61,1,0,$C$3,$C$6,$C$4,$C$5,$A14,4,0.05)</f>
        <v>14.10412295540738</v>
      </c>
    </row>
    <row r="15" spans="1:16" x14ac:dyDescent="0.35">
      <c r="A15" s="2">
        <v>5</v>
      </c>
      <c r="B15" s="1">
        <f>_xll.ARIMA_FORE(DATA!$B$2:$B$61,1,0,$C$3,$C$6,$C$4,$C$5,$A15,1,0.05)</f>
        <v>23.33050147584477</v>
      </c>
      <c r="C15" s="1">
        <f>_xll.ARIMA_FORE(DATA!$B$2:$B$61,1,0,$C$3,$C$6,$C$4,$C$5,$A15,2,0.05)</f>
        <v>5.1143086755625218</v>
      </c>
      <c r="D15" s="1">
        <f>_xll.ARIMA_FORE(DATA!$B$2:$B$61,1,0,$C$3,$C$6,$C$4,$C$5,$A15,5,0.05)</f>
        <v>33.354362285768055</v>
      </c>
      <c r="E15" s="1">
        <f>_xll.ARIMA_FORE(DATA!$B$2:$B$61,1,0,$C$3,$C$6,$C$4,$C$5,$A15,4,0.05)</f>
        <v>13.306640665921485</v>
      </c>
    </row>
    <row r="16" spans="1:16" x14ac:dyDescent="0.35">
      <c r="A16" s="41">
        <v>6</v>
      </c>
      <c r="B16" s="46">
        <f>_xll.ARIMA_FORE(DATA!$B$2:$B$61,1,0,$C$3,$C$6,$C$4,$C$5,$A16,1,0.05)</f>
        <v>22.880922837083137</v>
      </c>
      <c r="C16" s="46">
        <f>_xll.ARIMA_FORE(DATA!$B$2:$B$61,1,0,$C$3,$C$6,$C$4,$C$5,$A16,2,0.05)</f>
        <v>5.1648359873133849</v>
      </c>
      <c r="D16" s="46">
        <f>_xll.ARIMA_FORE(DATA!$B$2:$B$61,1,0,$C$3,$C$6,$C$4,$C$5,$A16,5,0.05)</f>
        <v>33.003815358273741</v>
      </c>
      <c r="E16" s="46">
        <f>_xll.ARIMA_FORE(DATA!$B$2:$B$61,1,0,$C$3,$C$6,$C$4,$C$5,$A16,4,0.05)</f>
        <v>12.758030315892531</v>
      </c>
    </row>
    <row r="17" spans="1:5" x14ac:dyDescent="0.35">
      <c r="A17" s="2">
        <v>7</v>
      </c>
      <c r="B17" s="1">
        <f>_xll.ARIMA_FORE(DATA!$B$2:$B$61,1,0,$C$3,$C$6,$C$4,$C$5,$A17,1,0.05)</f>
        <v>22.550437261270275</v>
      </c>
      <c r="C17" s="1">
        <f>_xll.ARIMA_FORE(DATA!$B$2:$B$61,1,0,$C$3,$C$6,$C$4,$C$5,$A17,2,0.05)</f>
        <v>5.1919349385090108</v>
      </c>
      <c r="D17" s="1">
        <f>_xll.ARIMA_FORE(DATA!$B$2:$B$61,1,0,$C$3,$C$6,$C$4,$C$5,$A17,5,0.05)</f>
        <v>32.726442750823118</v>
      </c>
      <c r="E17" s="1">
        <f>_xll.ARIMA_FORE(DATA!$B$2:$B$61,1,0,$C$3,$C$6,$C$4,$C$5,$A17,4,0.05)</f>
        <v>12.374431771717434</v>
      </c>
    </row>
    <row r="18" spans="1:5" x14ac:dyDescent="0.35">
      <c r="A18" s="42">
        <v>8</v>
      </c>
      <c r="B18" s="47">
        <f>_xll.ARIMA_FORE(DATA!$B$2:$B$61,1,0,$C$3,$C$6,$C$4,$C$5,$A18,1,0.05)</f>
        <v>22.307497080390668</v>
      </c>
      <c r="C18" s="47">
        <f>_xll.ARIMA_FORE(DATA!$B$2:$B$61,1,0,$C$3,$C$6,$C$4,$C$5,$A18,2,0.05)</f>
        <v>5.2065197805792724</v>
      </c>
      <c r="D18" s="47">
        <f>_xll.ARIMA_FORE(DATA!$B$2:$B$61,1,0,$C$3,$C$6,$C$4,$C$5,$A18,5,0.05)</f>
        <v>32.512088335121426</v>
      </c>
      <c r="E18" s="47">
        <f>_xll.ARIMA_FORE(DATA!$B$2:$B$61,1,0,$C$3,$C$6,$C$4,$C$5,$A18,4,0.05)</f>
        <v>12.10290582565991</v>
      </c>
    </row>
    <row r="19" spans="1:5" x14ac:dyDescent="0.35">
      <c r="A19" s="2">
        <v>9</v>
      </c>
      <c r="B19" s="1">
        <f>_xll.ARIMA_FORE(DATA!$B$2:$B$61,1,0,$C$3,$C$6,$C$4,$C$5,$A19,1,0.05)</f>
        <v>22.128911581339306</v>
      </c>
      <c r="C19" s="1">
        <f>_xll.ARIMA_FORE(DATA!$B$2:$B$61,1,0,$C$3,$C$6,$C$4,$C$5,$A19,2,0.05)</f>
        <v>5.2143840580834082</v>
      </c>
      <c r="D19" s="1">
        <f>_xll.ARIMA_FORE(DATA!$B$2:$B$61,1,0,$C$3,$C$6,$C$4,$C$5,$A19,5,0.05)</f>
        <v>32.3489165367426</v>
      </c>
      <c r="E19" s="1">
        <f>_xll.ARIMA_FORE(DATA!$B$2:$B$61,1,0,$C$3,$C$6,$C$4,$C$5,$A19,4,0.05)</f>
        <v>11.908906625936014</v>
      </c>
    </row>
    <row r="20" spans="1:5" x14ac:dyDescent="0.35">
      <c r="A20" s="42">
        <v>10</v>
      </c>
      <c r="B20" s="47">
        <f>_xll.ARIMA_FORE(DATA!$B$2:$B$61,1,0,$C$3,$C$6,$C$4,$C$5,$A20,1,0.05)</f>
        <v>21.99763325448555</v>
      </c>
      <c r="C20" s="47">
        <f>_xll.ARIMA_FORE(DATA!$B$2:$B$61,1,0,$C$3,$C$6,$C$4,$C$5,$A20,2,0.05)</f>
        <v>5.2186287694022759</v>
      </c>
      <c r="D20" s="47">
        <f>_xll.ARIMA_FORE(DATA!$B$2:$B$61,1,0,$C$3,$C$6,$C$4,$C$5,$A20,5,0.05)</f>
        <v>32.225957691198595</v>
      </c>
      <c r="E20" s="47">
        <f>_xll.ARIMA_FORE(DATA!$B$2:$B$61,1,0,$C$3,$C$6,$C$4,$C$5,$A20,4,0.05)</f>
        <v>11.769308817772506</v>
      </c>
    </row>
    <row r="21" spans="1:5" x14ac:dyDescent="0.35">
      <c r="A21" s="2">
        <v>11</v>
      </c>
      <c r="B21" s="1">
        <f>_xll.ARIMA_FORE(DATA!$B$2:$B$61,1,0,$C$3,$C$6,$C$4,$C$5,$A21,1,0.05)</f>
        <v>21.901130463424305</v>
      </c>
      <c r="C21" s="1">
        <f>_xll.ARIMA_FORE(DATA!$B$2:$B$61,1,0,$C$3,$C$6,$C$4,$C$5,$A21,2,0.05)</f>
        <v>5.2209210607313006</v>
      </c>
      <c r="D21" s="1">
        <f>_xll.ARIMA_FORE(DATA!$B$2:$B$61,1,0,$C$3,$C$6,$C$4,$C$5,$A21,5,0.05)</f>
        <v>32.133947708584309</v>
      </c>
      <c r="E21" s="1">
        <f>_xll.ARIMA_FORE(DATA!$B$2:$B$61,1,0,$C$3,$C$6,$C$4,$C$5,$A21,4,0.05)</f>
        <v>11.6683132182643</v>
      </c>
    </row>
    <row r="22" spans="1:5" x14ac:dyDescent="0.35">
      <c r="A22" s="42">
        <v>12</v>
      </c>
      <c r="B22" s="47">
        <f>_xll.ARIMA_FORE(DATA!$B$2:$B$61,1,0,$C$3,$C$6,$C$4,$C$5,$A22,1,0.05)</f>
        <v>21.830191193357397</v>
      </c>
      <c r="C22" s="47">
        <f>_xll.ARIMA_FORE(DATA!$B$2:$B$61,1,0,$C$3,$C$6,$C$4,$C$5,$A22,2,0.05)</f>
        <v>5.2221593344181043</v>
      </c>
      <c r="D22" s="47">
        <f>_xll.ARIMA_FORE(DATA!$B$2:$B$61,1,0,$C$3,$C$6,$C$4,$C$5,$A22,5,0.05)</f>
        <v>32.065435410346538</v>
      </c>
      <c r="E22" s="47">
        <f>_xll.ARIMA_FORE(DATA!$B$2:$B$61,1,0,$C$3,$C$6,$C$4,$C$5,$A22,4,0.05)</f>
        <v>11.594946976368254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H4" sqref="H4"/>
    </sheetView>
  </sheetViews>
  <sheetFormatPr defaultRowHeight="14.5" x14ac:dyDescent="0.35"/>
  <cols>
    <col min="1" max="1" width="8.1796875" customWidth="1"/>
  </cols>
  <sheetData>
    <row r="1" spans="1:5" x14ac:dyDescent="0.35">
      <c r="A1" s="13" t="s">
        <v>100</v>
      </c>
      <c r="B1" s="13" t="s">
        <v>101</v>
      </c>
      <c r="C1" s="13" t="s">
        <v>102</v>
      </c>
      <c r="D1" s="13" t="s">
        <v>76</v>
      </c>
      <c r="E1" s="13" t="s">
        <v>77</v>
      </c>
    </row>
    <row r="2" spans="1:5" x14ac:dyDescent="0.35">
      <c r="A2" s="77">
        <v>1</v>
      </c>
      <c r="B2" s="11">
        <v>27.445492594853221</v>
      </c>
      <c r="C2" s="11">
        <v>3.746130575936415</v>
      </c>
      <c r="D2" s="11">
        <v>34.787773605072886</v>
      </c>
      <c r="E2" s="11">
        <v>20.103211584633559</v>
      </c>
    </row>
    <row r="3" spans="1:5" x14ac:dyDescent="0.35">
      <c r="A3" s="78">
        <v>2</v>
      </c>
      <c r="B3" s="76">
        <v>25.90585572352165</v>
      </c>
      <c r="C3" s="76">
        <v>4.4860642633368499</v>
      </c>
      <c r="D3" s="76">
        <v>34.698380111994084</v>
      </c>
      <c r="E3" s="76">
        <v>17.113331335049217</v>
      </c>
    </row>
    <row r="4" spans="1:5" x14ac:dyDescent="0.35">
      <c r="A4" s="77">
        <v>3</v>
      </c>
      <c r="B4" s="11">
        <v>24.774067568803495</v>
      </c>
      <c r="C4" s="11">
        <v>4.839042798685286</v>
      </c>
      <c r="D4" s="11">
        <v>34.258417173874562</v>
      </c>
      <c r="E4" s="11">
        <v>15.289717963732429</v>
      </c>
    </row>
    <row r="5" spans="1:5" x14ac:dyDescent="0.35">
      <c r="A5" s="78">
        <v>4</v>
      </c>
      <c r="B5" s="76">
        <v>23.942089294567644</v>
      </c>
      <c r="C5" s="76">
        <v>5.0194628150113418</v>
      </c>
      <c r="D5" s="76">
        <v>33.780055633727912</v>
      </c>
      <c r="E5" s="76">
        <v>14.10412295540738</v>
      </c>
    </row>
    <row r="6" spans="1:5" x14ac:dyDescent="0.35">
      <c r="A6" s="77">
        <v>5</v>
      </c>
      <c r="B6" s="11">
        <v>23.33050147584477</v>
      </c>
      <c r="C6" s="11">
        <v>5.1143086755625218</v>
      </c>
      <c r="D6" s="11">
        <v>33.354362285768055</v>
      </c>
      <c r="E6" s="11">
        <v>13.306640665921485</v>
      </c>
    </row>
    <row r="7" spans="1:5" x14ac:dyDescent="0.35">
      <c r="A7" s="78">
        <v>6</v>
      </c>
      <c r="B7" s="76">
        <v>22.880922837083137</v>
      </c>
      <c r="C7" s="76">
        <v>5.1648359873133849</v>
      </c>
      <c r="D7" s="76">
        <v>33.003815358273741</v>
      </c>
      <c r="E7" s="76">
        <v>12.758030315892531</v>
      </c>
    </row>
    <row r="8" spans="1:5" x14ac:dyDescent="0.35">
      <c r="A8" s="77">
        <v>7</v>
      </c>
      <c r="B8" s="11">
        <v>22.550437261270275</v>
      </c>
      <c r="C8" s="11">
        <v>5.1919349385090108</v>
      </c>
      <c r="D8" s="11">
        <v>32.726442750823118</v>
      </c>
      <c r="E8" s="11">
        <v>12.374431771717434</v>
      </c>
    </row>
    <row r="9" spans="1:5" x14ac:dyDescent="0.35">
      <c r="A9" s="78">
        <v>8</v>
      </c>
      <c r="B9" s="76">
        <v>22.307497080390668</v>
      </c>
      <c r="C9" s="76">
        <v>5.2065197805792724</v>
      </c>
      <c r="D9" s="76">
        <v>32.512088335121426</v>
      </c>
      <c r="E9" s="76">
        <v>12.10290582565991</v>
      </c>
    </row>
    <row r="10" spans="1:5" x14ac:dyDescent="0.35">
      <c r="A10" s="77">
        <v>9</v>
      </c>
      <c r="B10" s="11">
        <v>22.128911581339306</v>
      </c>
      <c r="C10" s="11">
        <v>5.2143840580834082</v>
      </c>
      <c r="D10" s="11">
        <v>32.3489165367426</v>
      </c>
      <c r="E10" s="11">
        <v>11.908906625936014</v>
      </c>
    </row>
    <row r="11" spans="1:5" x14ac:dyDescent="0.35">
      <c r="A11" s="78">
        <v>10</v>
      </c>
      <c r="B11" s="76">
        <v>21.99763325448555</v>
      </c>
      <c r="C11" s="76">
        <v>5.2186287694022759</v>
      </c>
      <c r="D11" s="76">
        <v>32.225957691198595</v>
      </c>
      <c r="E11" s="76">
        <v>11.769308817772506</v>
      </c>
    </row>
    <row r="12" spans="1:5" x14ac:dyDescent="0.35">
      <c r="A12" s="77">
        <v>11</v>
      </c>
      <c r="B12" s="11">
        <v>21.901130463424305</v>
      </c>
      <c r="C12" s="11">
        <v>5.2209210607313006</v>
      </c>
      <c r="D12" s="11">
        <v>32.133947708584309</v>
      </c>
      <c r="E12" s="11">
        <v>11.6683132182643</v>
      </c>
    </row>
    <row r="13" spans="1:5" x14ac:dyDescent="0.35">
      <c r="A13" s="78">
        <v>12</v>
      </c>
      <c r="B13" s="76">
        <v>21.830191193357397</v>
      </c>
      <c r="C13" s="76">
        <v>5.2221593344181043</v>
      </c>
      <c r="D13" s="76">
        <v>32.065435410346538</v>
      </c>
      <c r="E13" s="76">
        <v>11.594946976368254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M12" sqref="M12"/>
    </sheetView>
  </sheetViews>
  <sheetFormatPr defaultRowHeight="14.5" x14ac:dyDescent="0.35"/>
  <cols>
    <col min="1" max="1" width="7.26953125" bestFit="1" customWidth="1"/>
    <col min="2" max="2" width="6.08984375" bestFit="1" customWidth="1"/>
    <col min="3" max="3" width="11.81640625" bestFit="1" customWidth="1"/>
    <col min="4" max="4" width="12.453125" bestFit="1" customWidth="1"/>
    <col min="5" max="5" width="11.81640625" bestFit="1" customWidth="1"/>
    <col min="6" max="6" width="12.453125" bestFit="1" customWidth="1"/>
    <col min="7" max="7" width="11.81640625" bestFit="1" customWidth="1"/>
  </cols>
  <sheetData>
    <row r="1" spans="1:11" x14ac:dyDescent="0.35">
      <c r="A1" s="12" t="s">
        <v>103</v>
      </c>
      <c r="B1" s="12" t="s">
        <v>104</v>
      </c>
      <c r="C1" s="12" t="s">
        <v>105</v>
      </c>
      <c r="D1" s="12" t="s">
        <v>106</v>
      </c>
      <c r="E1" s="12" t="s">
        <v>107</v>
      </c>
      <c r="F1" s="12" t="s">
        <v>108</v>
      </c>
      <c r="G1" s="12" t="s">
        <v>109</v>
      </c>
      <c r="J1" s="12" t="s">
        <v>110</v>
      </c>
      <c r="K1" s="12" t="s">
        <v>111</v>
      </c>
    </row>
    <row r="2" spans="1:11" x14ac:dyDescent="0.35">
      <c r="A2" s="11">
        <v>49</v>
      </c>
      <c r="B2" s="11">
        <v>19</v>
      </c>
      <c r="C2" s="11">
        <v>27.445492594853221</v>
      </c>
      <c r="D2" s="11">
        <f t="shared" ref="D2:D13" si="0">B2-C2</f>
        <v>-8.4454925948532207</v>
      </c>
      <c r="E2" s="11">
        <f t="shared" ref="E2:E13" si="1">ABS(D2)</f>
        <v>8.4454925948532207</v>
      </c>
      <c r="F2" s="11">
        <f t="shared" ref="F2:F13" si="2">D2^2</f>
        <v>71.326345169720582</v>
      </c>
      <c r="G2" s="11">
        <f t="shared" ref="G2:G13" si="3">ABS((B2-C2)/B2)*100</f>
        <v>44.449961025543267</v>
      </c>
      <c r="J2" s="11">
        <f>AVERAGE(F2:F13)</f>
        <v>31.527737786626052</v>
      </c>
      <c r="K2" s="11">
        <f>AVERAGE(G2:G13)</f>
        <v>20.039297847808914</v>
      </c>
    </row>
    <row r="3" spans="1:11" x14ac:dyDescent="0.35">
      <c r="A3" s="76">
        <v>50</v>
      </c>
      <c r="B3" s="76">
        <v>21</v>
      </c>
      <c r="C3" s="76">
        <v>25.90585572352165</v>
      </c>
      <c r="D3" s="76">
        <f t="shared" si="0"/>
        <v>-4.9058557235216504</v>
      </c>
      <c r="E3" s="76">
        <f t="shared" si="1"/>
        <v>4.9058557235216504</v>
      </c>
      <c r="F3" s="76">
        <f t="shared" si="2"/>
        <v>24.067420380010137</v>
      </c>
      <c r="G3" s="76">
        <f t="shared" si="3"/>
        <v>23.361217731055479</v>
      </c>
    </row>
    <row r="4" spans="1:11" x14ac:dyDescent="0.35">
      <c r="A4" s="11">
        <v>51</v>
      </c>
      <c r="B4" s="11">
        <v>20</v>
      </c>
      <c r="C4" s="11">
        <v>24.774067568803495</v>
      </c>
      <c r="D4" s="11">
        <f t="shared" si="0"/>
        <v>-4.7740675688034955</v>
      </c>
      <c r="E4" s="11">
        <f t="shared" si="1"/>
        <v>4.7740675688034955</v>
      </c>
      <c r="F4" s="11">
        <f t="shared" si="2"/>
        <v>22.791721151501317</v>
      </c>
      <c r="G4" s="11">
        <f t="shared" si="3"/>
        <v>23.870337844017477</v>
      </c>
    </row>
    <row r="5" spans="1:11" x14ac:dyDescent="0.35">
      <c r="A5" s="76">
        <v>52</v>
      </c>
      <c r="B5" s="76">
        <v>23</v>
      </c>
      <c r="C5" s="76">
        <v>23.942089294567644</v>
      </c>
      <c r="D5" s="76">
        <f t="shared" si="0"/>
        <v>-0.94208929456764423</v>
      </c>
      <c r="E5" s="76">
        <f t="shared" si="1"/>
        <v>0.94208929456764423</v>
      </c>
      <c r="F5" s="76">
        <f t="shared" si="2"/>
        <v>0.88753223893896149</v>
      </c>
      <c r="G5" s="76">
        <f t="shared" si="3"/>
        <v>4.0960404111636706</v>
      </c>
    </row>
    <row r="6" spans="1:11" x14ac:dyDescent="0.35">
      <c r="A6" s="11">
        <v>53</v>
      </c>
      <c r="B6" s="11">
        <v>25</v>
      </c>
      <c r="C6" s="11">
        <v>23.33050147584477</v>
      </c>
      <c r="D6" s="11">
        <f t="shared" si="0"/>
        <v>1.6694985241552303</v>
      </c>
      <c r="E6" s="11">
        <f t="shared" si="1"/>
        <v>1.6694985241552303</v>
      </c>
      <c r="F6" s="11">
        <f t="shared" si="2"/>
        <v>2.787225322156492</v>
      </c>
      <c r="G6" s="11">
        <f t="shared" si="3"/>
        <v>6.677994096620921</v>
      </c>
    </row>
    <row r="7" spans="1:11" x14ac:dyDescent="0.35">
      <c r="A7" s="76">
        <v>54</v>
      </c>
      <c r="B7" s="76">
        <v>24</v>
      </c>
      <c r="C7" s="76">
        <v>22.880922837083137</v>
      </c>
      <c r="D7" s="76">
        <f t="shared" si="0"/>
        <v>1.119077162916863</v>
      </c>
      <c r="E7" s="76">
        <f t="shared" si="1"/>
        <v>1.119077162916863</v>
      </c>
      <c r="F7" s="76">
        <f t="shared" si="2"/>
        <v>1.2523336965620551</v>
      </c>
      <c r="G7" s="76">
        <f t="shared" si="3"/>
        <v>4.6628215121535952</v>
      </c>
    </row>
    <row r="8" spans="1:11" x14ac:dyDescent="0.35">
      <c r="A8" s="11">
        <v>55</v>
      </c>
      <c r="B8" s="11">
        <v>27</v>
      </c>
      <c r="C8" s="11">
        <v>22.550437261270275</v>
      </c>
      <c r="D8" s="11">
        <f t="shared" si="0"/>
        <v>4.4495627387297247</v>
      </c>
      <c r="E8" s="11">
        <f t="shared" si="1"/>
        <v>4.4495627387297247</v>
      </c>
      <c r="F8" s="11">
        <f t="shared" si="2"/>
        <v>19.798608565891968</v>
      </c>
      <c r="G8" s="11">
        <f t="shared" si="3"/>
        <v>16.479861995295277</v>
      </c>
    </row>
    <row r="9" spans="1:11" x14ac:dyDescent="0.35">
      <c r="A9" s="76">
        <v>56</v>
      </c>
      <c r="B9" s="76">
        <v>30</v>
      </c>
      <c r="C9" s="76">
        <v>22.307497080390668</v>
      </c>
      <c r="D9" s="76">
        <f t="shared" si="0"/>
        <v>7.692502919609332</v>
      </c>
      <c r="E9" s="76">
        <f t="shared" si="1"/>
        <v>7.692502919609332</v>
      </c>
      <c r="F9" s="76">
        <f t="shared" si="2"/>
        <v>59.174601168198095</v>
      </c>
      <c r="G9" s="76">
        <f t="shared" si="3"/>
        <v>25.641676398697772</v>
      </c>
    </row>
    <row r="10" spans="1:11" x14ac:dyDescent="0.35">
      <c r="A10" s="11">
        <v>57</v>
      </c>
      <c r="B10" s="11">
        <v>28</v>
      </c>
      <c r="C10" s="11">
        <v>22.128911581339306</v>
      </c>
      <c r="D10" s="11">
        <f t="shared" si="0"/>
        <v>5.871088418660694</v>
      </c>
      <c r="E10" s="11">
        <f t="shared" si="1"/>
        <v>5.871088418660694</v>
      </c>
      <c r="F10" s="11">
        <f t="shared" si="2"/>
        <v>34.469679219731731</v>
      </c>
      <c r="G10" s="11">
        <f t="shared" si="3"/>
        <v>20.968172923788192</v>
      </c>
    </row>
    <row r="11" spans="1:11" x14ac:dyDescent="0.35">
      <c r="A11" s="76">
        <v>58</v>
      </c>
      <c r="B11" s="76">
        <v>29</v>
      </c>
      <c r="C11" s="76">
        <v>21.99763325448555</v>
      </c>
      <c r="D11" s="76">
        <f t="shared" si="0"/>
        <v>7.0023667455144505</v>
      </c>
      <c r="E11" s="76">
        <f t="shared" si="1"/>
        <v>7.0023667455144505</v>
      </c>
      <c r="F11" s="76">
        <f t="shared" si="2"/>
        <v>49.033140038686639</v>
      </c>
      <c r="G11" s="76">
        <f t="shared" si="3"/>
        <v>24.146092225911897</v>
      </c>
    </row>
    <row r="12" spans="1:11" x14ac:dyDescent="0.35">
      <c r="A12" s="11">
        <v>59</v>
      </c>
      <c r="B12" s="11">
        <v>27</v>
      </c>
      <c r="C12" s="11">
        <v>21.901130463424305</v>
      </c>
      <c r="D12" s="11">
        <f t="shared" si="0"/>
        <v>5.0988695365756946</v>
      </c>
      <c r="E12" s="11">
        <f t="shared" si="1"/>
        <v>5.0988695365756946</v>
      </c>
      <c r="F12" s="11">
        <f t="shared" si="2"/>
        <v>25.99847055101964</v>
      </c>
      <c r="G12" s="11">
        <f t="shared" si="3"/>
        <v>18.884701987317388</v>
      </c>
    </row>
    <row r="13" spans="1:11" x14ac:dyDescent="0.35">
      <c r="A13" s="76">
        <v>60</v>
      </c>
      <c r="B13" s="76">
        <v>30</v>
      </c>
      <c r="C13" s="76">
        <v>21.830191193357397</v>
      </c>
      <c r="D13" s="76">
        <f t="shared" si="0"/>
        <v>8.1698088066426031</v>
      </c>
      <c r="E13" s="76">
        <f t="shared" si="1"/>
        <v>8.1698088066426031</v>
      </c>
      <c r="F13" s="76">
        <f t="shared" si="2"/>
        <v>66.745775937095033</v>
      </c>
      <c r="G13" s="76">
        <f t="shared" si="3"/>
        <v>27.232696022142012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activeCell="H11" sqref="H11"/>
    </sheetView>
  </sheetViews>
  <sheetFormatPr defaultRowHeight="14.5" x14ac:dyDescent="0.35"/>
  <cols>
    <col min="1" max="2" width="15.90625" customWidth="1"/>
    <col min="4" max="4" width="14.453125" bestFit="1" customWidth="1"/>
  </cols>
  <sheetData>
    <row r="1" spans="1:5" ht="22.5" customHeight="1" x14ac:dyDescent="0.35">
      <c r="A1" s="12" t="s">
        <v>1</v>
      </c>
      <c r="B1" s="12" t="s">
        <v>0</v>
      </c>
    </row>
    <row r="2" spans="1:5" x14ac:dyDescent="0.35">
      <c r="A2" s="79">
        <v>1</v>
      </c>
      <c r="B2" s="79">
        <v>11</v>
      </c>
    </row>
    <row r="3" spans="1:5" x14ac:dyDescent="0.35">
      <c r="A3" s="78">
        <v>2</v>
      </c>
      <c r="B3" s="78">
        <v>13</v>
      </c>
      <c r="D3" s="13" t="s">
        <v>113</v>
      </c>
      <c r="E3" s="76">
        <f>MIN(B2:B61)</f>
        <v>11</v>
      </c>
    </row>
    <row r="4" spans="1:5" x14ac:dyDescent="0.35">
      <c r="A4" s="79">
        <v>3</v>
      </c>
      <c r="B4" s="77">
        <v>12</v>
      </c>
      <c r="D4" s="13" t="s">
        <v>114</v>
      </c>
      <c r="E4" s="11">
        <f>MAX(B2:B61)</f>
        <v>30</v>
      </c>
    </row>
    <row r="5" spans="1:5" x14ac:dyDescent="0.35">
      <c r="A5" s="78">
        <v>4</v>
      </c>
      <c r="B5" s="78">
        <v>15</v>
      </c>
      <c r="D5" s="13" t="s">
        <v>115</v>
      </c>
      <c r="E5" s="76">
        <f>COUNT(B2:B61)</f>
        <v>60</v>
      </c>
    </row>
    <row r="6" spans="1:5" x14ac:dyDescent="0.35">
      <c r="A6" s="79">
        <v>5</v>
      </c>
      <c r="B6" s="77">
        <v>14</v>
      </c>
      <c r="D6" s="13" t="s">
        <v>116</v>
      </c>
      <c r="E6" s="11">
        <f>1+3.3*LOG10(E4)</f>
        <v>5.8745001405748853</v>
      </c>
    </row>
    <row r="7" spans="1:5" x14ac:dyDescent="0.35">
      <c r="A7" s="78">
        <v>6</v>
      </c>
      <c r="B7" s="78">
        <v>16</v>
      </c>
      <c r="D7" s="13" t="s">
        <v>116</v>
      </c>
      <c r="E7" s="76">
        <f>ROUND(E6,0)</f>
        <v>6</v>
      </c>
    </row>
    <row r="8" spans="1:5" x14ac:dyDescent="0.35">
      <c r="A8" s="79">
        <v>7</v>
      </c>
      <c r="B8" s="77">
        <v>18</v>
      </c>
      <c r="D8" s="13" t="s">
        <v>117</v>
      </c>
      <c r="E8" s="11">
        <f>(E4-E3)/E7</f>
        <v>3.1666666666666665</v>
      </c>
    </row>
    <row r="9" spans="1:5" x14ac:dyDescent="0.35">
      <c r="A9" s="78">
        <v>8</v>
      </c>
      <c r="B9" s="78">
        <v>17</v>
      </c>
      <c r="D9" s="13" t="s">
        <v>118</v>
      </c>
      <c r="E9" s="76">
        <f>ROUND(E8,0)</f>
        <v>3</v>
      </c>
    </row>
    <row r="10" spans="1:5" x14ac:dyDescent="0.35">
      <c r="A10" s="79">
        <v>9</v>
      </c>
      <c r="B10" s="77">
        <v>19</v>
      </c>
    </row>
    <row r="11" spans="1:5" x14ac:dyDescent="0.35">
      <c r="A11" s="78">
        <v>10</v>
      </c>
      <c r="B11" s="78">
        <v>21</v>
      </c>
    </row>
    <row r="12" spans="1:5" x14ac:dyDescent="0.35">
      <c r="A12" s="79">
        <v>11</v>
      </c>
      <c r="B12" s="77">
        <v>20</v>
      </c>
    </row>
    <row r="13" spans="1:5" x14ac:dyDescent="0.35">
      <c r="A13" s="78">
        <v>12</v>
      </c>
      <c r="B13" s="78">
        <v>23</v>
      </c>
    </row>
    <row r="14" spans="1:5" x14ac:dyDescent="0.35">
      <c r="A14" s="79">
        <v>13</v>
      </c>
      <c r="B14" s="77">
        <v>14</v>
      </c>
    </row>
    <row r="15" spans="1:5" x14ac:dyDescent="0.35">
      <c r="A15" s="78">
        <v>14</v>
      </c>
      <c r="B15" s="78">
        <v>16</v>
      </c>
    </row>
    <row r="16" spans="1:5" x14ac:dyDescent="0.35">
      <c r="A16" s="79">
        <v>15</v>
      </c>
      <c r="B16" s="77">
        <v>15</v>
      </c>
    </row>
    <row r="17" spans="1:2" x14ac:dyDescent="0.35">
      <c r="A17" s="78">
        <v>16</v>
      </c>
      <c r="B17" s="78">
        <v>18</v>
      </c>
    </row>
    <row r="18" spans="1:2" x14ac:dyDescent="0.35">
      <c r="A18" s="79">
        <v>17</v>
      </c>
      <c r="B18" s="77">
        <v>17</v>
      </c>
    </row>
    <row r="19" spans="1:2" x14ac:dyDescent="0.35">
      <c r="A19" s="78">
        <v>18</v>
      </c>
      <c r="B19" s="78">
        <v>20</v>
      </c>
    </row>
    <row r="20" spans="1:2" x14ac:dyDescent="0.35">
      <c r="A20" s="79">
        <v>19</v>
      </c>
      <c r="B20" s="77">
        <v>22</v>
      </c>
    </row>
    <row r="21" spans="1:2" x14ac:dyDescent="0.35">
      <c r="A21" s="78">
        <v>20</v>
      </c>
      <c r="B21" s="78">
        <v>21</v>
      </c>
    </row>
    <row r="22" spans="1:2" x14ac:dyDescent="0.35">
      <c r="A22" s="79">
        <v>21</v>
      </c>
      <c r="B22" s="77">
        <v>24</v>
      </c>
    </row>
    <row r="23" spans="1:2" x14ac:dyDescent="0.35">
      <c r="A23" s="78">
        <v>22</v>
      </c>
      <c r="B23" s="78">
        <v>23</v>
      </c>
    </row>
    <row r="24" spans="1:2" x14ac:dyDescent="0.35">
      <c r="A24" s="79">
        <v>23</v>
      </c>
      <c r="B24" s="77">
        <v>25</v>
      </c>
    </row>
    <row r="25" spans="1:2" x14ac:dyDescent="0.35">
      <c r="A25" s="78">
        <v>24</v>
      </c>
      <c r="B25" s="78">
        <v>27</v>
      </c>
    </row>
    <row r="26" spans="1:2" x14ac:dyDescent="0.35">
      <c r="A26" s="79">
        <v>25</v>
      </c>
      <c r="B26" s="77">
        <v>16</v>
      </c>
    </row>
    <row r="27" spans="1:2" x14ac:dyDescent="0.35">
      <c r="A27" s="78">
        <v>26</v>
      </c>
      <c r="B27" s="78">
        <v>18</v>
      </c>
    </row>
    <row r="28" spans="1:2" x14ac:dyDescent="0.35">
      <c r="A28" s="79">
        <v>27</v>
      </c>
      <c r="B28" s="77">
        <v>17</v>
      </c>
    </row>
    <row r="29" spans="1:2" x14ac:dyDescent="0.35">
      <c r="A29" s="78">
        <v>28</v>
      </c>
      <c r="B29" s="78">
        <v>19</v>
      </c>
    </row>
    <row r="30" spans="1:2" x14ac:dyDescent="0.35">
      <c r="A30" s="79">
        <v>29</v>
      </c>
      <c r="B30" s="77">
        <v>21</v>
      </c>
    </row>
    <row r="31" spans="1:2" x14ac:dyDescent="0.35">
      <c r="A31" s="78">
        <v>30</v>
      </c>
      <c r="B31" s="78">
        <v>20</v>
      </c>
    </row>
    <row r="32" spans="1:2" x14ac:dyDescent="0.35">
      <c r="A32" s="79">
        <v>31</v>
      </c>
      <c r="B32" s="77">
        <v>23</v>
      </c>
    </row>
    <row r="33" spans="1:2" x14ac:dyDescent="0.35">
      <c r="A33" s="78">
        <v>32</v>
      </c>
      <c r="B33" s="78">
        <v>25</v>
      </c>
    </row>
    <row r="34" spans="1:2" x14ac:dyDescent="0.35">
      <c r="A34" s="79">
        <v>33</v>
      </c>
      <c r="B34" s="77">
        <v>24</v>
      </c>
    </row>
    <row r="35" spans="1:2" x14ac:dyDescent="0.35">
      <c r="A35" s="78">
        <v>34</v>
      </c>
      <c r="B35" s="78">
        <v>26</v>
      </c>
    </row>
    <row r="36" spans="1:2" x14ac:dyDescent="0.35">
      <c r="A36" s="79">
        <v>35</v>
      </c>
      <c r="B36" s="77">
        <v>28</v>
      </c>
    </row>
    <row r="37" spans="1:2" x14ac:dyDescent="0.35">
      <c r="A37" s="78">
        <v>36</v>
      </c>
      <c r="B37" s="78">
        <v>30</v>
      </c>
    </row>
    <row r="38" spans="1:2" x14ac:dyDescent="0.35">
      <c r="A38" s="79">
        <v>37</v>
      </c>
      <c r="B38" s="77">
        <v>18</v>
      </c>
    </row>
    <row r="39" spans="1:2" x14ac:dyDescent="0.35">
      <c r="A39" s="78">
        <v>38</v>
      </c>
      <c r="B39" s="78">
        <v>17</v>
      </c>
    </row>
    <row r="40" spans="1:2" x14ac:dyDescent="0.35">
      <c r="A40" s="79">
        <v>39</v>
      </c>
      <c r="B40" s="77">
        <v>20</v>
      </c>
    </row>
    <row r="41" spans="1:2" x14ac:dyDescent="0.35">
      <c r="A41" s="78">
        <v>40</v>
      </c>
      <c r="B41" s="78">
        <v>22</v>
      </c>
    </row>
    <row r="42" spans="1:2" x14ac:dyDescent="0.35">
      <c r="A42" s="79">
        <v>41</v>
      </c>
      <c r="B42" s="77">
        <v>21</v>
      </c>
    </row>
    <row r="43" spans="1:2" x14ac:dyDescent="0.35">
      <c r="A43" s="78">
        <v>42</v>
      </c>
      <c r="B43" s="78">
        <v>24</v>
      </c>
    </row>
    <row r="44" spans="1:2" x14ac:dyDescent="0.35">
      <c r="A44" s="79">
        <v>43</v>
      </c>
      <c r="B44" s="77">
        <v>26</v>
      </c>
    </row>
    <row r="45" spans="1:2" x14ac:dyDescent="0.35">
      <c r="A45" s="78">
        <v>44</v>
      </c>
      <c r="B45" s="78">
        <v>25</v>
      </c>
    </row>
    <row r="46" spans="1:2" x14ac:dyDescent="0.35">
      <c r="A46" s="79">
        <v>45</v>
      </c>
      <c r="B46" s="77">
        <v>27</v>
      </c>
    </row>
    <row r="47" spans="1:2" x14ac:dyDescent="0.35">
      <c r="A47" s="78">
        <v>46</v>
      </c>
      <c r="B47" s="78">
        <v>29</v>
      </c>
    </row>
    <row r="48" spans="1:2" x14ac:dyDescent="0.35">
      <c r="A48" s="79">
        <v>47</v>
      </c>
      <c r="B48" s="77">
        <v>30</v>
      </c>
    </row>
    <row r="49" spans="1:2" x14ac:dyDescent="0.35">
      <c r="A49" s="78">
        <v>48</v>
      </c>
      <c r="B49" s="78">
        <v>28</v>
      </c>
    </row>
    <row r="50" spans="1:2" x14ac:dyDescent="0.35">
      <c r="A50" s="79">
        <v>49</v>
      </c>
      <c r="B50" s="77">
        <v>19</v>
      </c>
    </row>
    <row r="51" spans="1:2" x14ac:dyDescent="0.35">
      <c r="A51" s="78">
        <v>50</v>
      </c>
      <c r="B51" s="78">
        <v>21</v>
      </c>
    </row>
    <row r="52" spans="1:2" x14ac:dyDescent="0.35">
      <c r="A52" s="79">
        <v>51</v>
      </c>
      <c r="B52" s="77">
        <v>20</v>
      </c>
    </row>
    <row r="53" spans="1:2" x14ac:dyDescent="0.35">
      <c r="A53" s="78">
        <v>52</v>
      </c>
      <c r="B53" s="78">
        <v>23</v>
      </c>
    </row>
    <row r="54" spans="1:2" x14ac:dyDescent="0.35">
      <c r="A54" s="79">
        <v>53</v>
      </c>
      <c r="B54" s="77">
        <v>25</v>
      </c>
    </row>
    <row r="55" spans="1:2" x14ac:dyDescent="0.35">
      <c r="A55" s="78">
        <v>54</v>
      </c>
      <c r="B55" s="78">
        <v>24</v>
      </c>
    </row>
    <row r="56" spans="1:2" x14ac:dyDescent="0.35">
      <c r="A56" s="79">
        <v>55</v>
      </c>
      <c r="B56" s="77">
        <v>27</v>
      </c>
    </row>
    <row r="57" spans="1:2" x14ac:dyDescent="0.35">
      <c r="A57" s="78">
        <v>56</v>
      </c>
      <c r="B57" s="78">
        <v>30</v>
      </c>
    </row>
    <row r="58" spans="1:2" x14ac:dyDescent="0.35">
      <c r="A58" s="79">
        <v>57</v>
      </c>
      <c r="B58" s="77">
        <v>28</v>
      </c>
    </row>
    <row r="59" spans="1:2" x14ac:dyDescent="0.35">
      <c r="A59" s="78">
        <v>58</v>
      </c>
      <c r="B59" s="78">
        <v>29</v>
      </c>
    </row>
    <row r="60" spans="1:2" x14ac:dyDescent="0.35">
      <c r="A60" s="79">
        <v>59</v>
      </c>
      <c r="B60" s="77">
        <v>27</v>
      </c>
    </row>
    <row r="61" spans="1:2" x14ac:dyDescent="0.35">
      <c r="A61" s="78">
        <v>60</v>
      </c>
      <c r="B61" s="78">
        <v>30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6" sqref="D6"/>
    </sheetView>
  </sheetViews>
  <sheetFormatPr defaultRowHeight="14.5" x14ac:dyDescent="0.35"/>
  <cols>
    <col min="1" max="1" width="14.453125" bestFit="1" customWidth="1"/>
  </cols>
  <sheetData>
    <row r="1" spans="1:2" x14ac:dyDescent="0.35">
      <c r="A1" s="13" t="s">
        <v>113</v>
      </c>
      <c r="B1" s="11">
        <v>11</v>
      </c>
    </row>
    <row r="2" spans="1:2" x14ac:dyDescent="0.35">
      <c r="A2" s="13" t="s">
        <v>114</v>
      </c>
      <c r="B2" s="11">
        <v>30</v>
      </c>
    </row>
    <row r="3" spans="1:2" x14ac:dyDescent="0.35">
      <c r="A3" s="13" t="s">
        <v>115</v>
      </c>
      <c r="B3" s="11">
        <v>60</v>
      </c>
    </row>
    <row r="4" spans="1:2" x14ac:dyDescent="0.35">
      <c r="A4" s="13" t="s">
        <v>116</v>
      </c>
      <c r="B4" s="11">
        <v>5.8745001405748853</v>
      </c>
    </row>
    <row r="5" spans="1:2" x14ac:dyDescent="0.35">
      <c r="A5" s="13" t="s">
        <v>116</v>
      </c>
      <c r="B5" s="11">
        <v>6</v>
      </c>
    </row>
    <row r="6" spans="1:2" x14ac:dyDescent="0.35">
      <c r="A6" s="13" t="s">
        <v>117</v>
      </c>
      <c r="B6" s="11">
        <v>3.1666666666666665</v>
      </c>
    </row>
    <row r="7" spans="1:2" x14ac:dyDescent="0.35">
      <c r="A7" s="13" t="s">
        <v>118</v>
      </c>
      <c r="B7" s="11">
        <v>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sqref="A1:D8"/>
    </sheetView>
  </sheetViews>
  <sheetFormatPr defaultRowHeight="14.5" x14ac:dyDescent="0.35"/>
  <sheetData>
    <row r="1" spans="1:4" x14ac:dyDescent="0.35">
      <c r="A1" s="81" t="s">
        <v>119</v>
      </c>
      <c r="B1" s="82" t="s">
        <v>120</v>
      </c>
      <c r="C1" s="82" t="s">
        <v>121</v>
      </c>
      <c r="D1" s="83" t="s">
        <v>129</v>
      </c>
    </row>
    <row r="2" spans="1:4" x14ac:dyDescent="0.35">
      <c r="A2" s="84" t="s">
        <v>122</v>
      </c>
      <c r="B2" s="14">
        <v>11</v>
      </c>
      <c r="C2" s="14">
        <v>14</v>
      </c>
      <c r="D2" s="85">
        <f t="shared" ref="D2:D8" si="0">(B2+C2)/2</f>
        <v>12.5</v>
      </c>
    </row>
    <row r="3" spans="1:4" x14ac:dyDescent="0.35">
      <c r="A3" s="86" t="s">
        <v>123</v>
      </c>
      <c r="B3" s="80">
        <v>14</v>
      </c>
      <c r="C3" s="80">
        <v>17</v>
      </c>
      <c r="D3" s="87">
        <f t="shared" si="0"/>
        <v>15.5</v>
      </c>
    </row>
    <row r="4" spans="1:4" x14ac:dyDescent="0.35">
      <c r="A4" s="84" t="s">
        <v>124</v>
      </c>
      <c r="B4" s="14">
        <v>17</v>
      </c>
      <c r="C4" s="14">
        <v>20</v>
      </c>
      <c r="D4" s="85">
        <f t="shared" si="0"/>
        <v>18.5</v>
      </c>
    </row>
    <row r="5" spans="1:4" x14ac:dyDescent="0.35">
      <c r="A5" s="86" t="s">
        <v>125</v>
      </c>
      <c r="B5" s="80">
        <v>20</v>
      </c>
      <c r="C5" s="80">
        <v>23</v>
      </c>
      <c r="D5" s="87">
        <f t="shared" si="0"/>
        <v>21.5</v>
      </c>
    </row>
    <row r="6" spans="1:4" x14ac:dyDescent="0.35">
      <c r="A6" s="84" t="s">
        <v>126</v>
      </c>
      <c r="B6" s="14">
        <v>23</v>
      </c>
      <c r="C6" s="14">
        <v>26</v>
      </c>
      <c r="D6" s="85">
        <f t="shared" si="0"/>
        <v>24.5</v>
      </c>
    </row>
    <row r="7" spans="1:4" x14ac:dyDescent="0.35">
      <c r="A7" s="86" t="s">
        <v>127</v>
      </c>
      <c r="B7" s="80">
        <v>26</v>
      </c>
      <c r="C7" s="80">
        <v>29</v>
      </c>
      <c r="D7" s="87">
        <f t="shared" si="0"/>
        <v>27.5</v>
      </c>
    </row>
    <row r="8" spans="1:4" ht="15" thickBot="1" x14ac:dyDescent="0.4">
      <c r="A8" s="88" t="s">
        <v>128</v>
      </c>
      <c r="B8" s="89">
        <v>29</v>
      </c>
      <c r="C8" s="89">
        <v>32</v>
      </c>
      <c r="D8" s="90">
        <f t="shared" si="0"/>
        <v>30.5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selection activeCell="A61" sqref="A61:C61"/>
    </sheetView>
  </sheetViews>
  <sheetFormatPr defaultRowHeight="14.5" x14ac:dyDescent="0.35"/>
  <cols>
    <col min="1" max="1" width="11.81640625" customWidth="1"/>
    <col min="2" max="2" width="13.1796875" customWidth="1"/>
    <col min="3" max="3" width="5.36328125" bestFit="1" customWidth="1"/>
  </cols>
  <sheetData>
    <row r="1" spans="1:3" ht="24" customHeight="1" x14ac:dyDescent="0.35">
      <c r="A1" s="12" t="s">
        <v>103</v>
      </c>
      <c r="B1" s="12" t="s">
        <v>112</v>
      </c>
      <c r="C1" s="12" t="s">
        <v>130</v>
      </c>
    </row>
    <row r="2" spans="1:3" x14ac:dyDescent="0.35">
      <c r="A2" s="79">
        <v>1</v>
      </c>
      <c r="B2" s="79">
        <v>11</v>
      </c>
      <c r="C2" s="77" t="str">
        <f t="shared" ref="C2:C33" si="0">IF(AND(B2&gt;=11,B2&lt;14),"A1",
IF(AND(B2&gt;=14,B2&lt;17),"A2",
IF(AND(B2&gt;=17,B2&lt;20),"A3",
IF(AND(B2&gt;=20,B2&lt;23),"A4",
IF(AND(B2&gt;=23,B2&lt;26),"A5",
IF(AND(B2&gt;=26,B2&lt;29),"A6",
"A7"))))))</f>
        <v>A1</v>
      </c>
    </row>
    <row r="3" spans="1:3" x14ac:dyDescent="0.35">
      <c r="A3" s="78">
        <v>2</v>
      </c>
      <c r="B3" s="78">
        <v>13</v>
      </c>
      <c r="C3" s="78" t="str">
        <f t="shared" si="0"/>
        <v>A1</v>
      </c>
    </row>
    <row r="4" spans="1:3" x14ac:dyDescent="0.35">
      <c r="A4" s="79">
        <v>3</v>
      </c>
      <c r="B4" s="77">
        <v>12</v>
      </c>
      <c r="C4" s="77" t="str">
        <f t="shared" si="0"/>
        <v>A1</v>
      </c>
    </row>
    <row r="5" spans="1:3" x14ac:dyDescent="0.35">
      <c r="A5" s="78">
        <v>4</v>
      </c>
      <c r="B5" s="78">
        <v>15</v>
      </c>
      <c r="C5" s="78" t="str">
        <f t="shared" si="0"/>
        <v>A2</v>
      </c>
    </row>
    <row r="6" spans="1:3" x14ac:dyDescent="0.35">
      <c r="A6" s="94">
        <v>5</v>
      </c>
      <c r="B6" s="91">
        <v>14</v>
      </c>
      <c r="C6" s="77" t="str">
        <f t="shared" si="0"/>
        <v>A2</v>
      </c>
    </row>
    <row r="7" spans="1:3" x14ac:dyDescent="0.35">
      <c r="A7" s="95">
        <v>6</v>
      </c>
      <c r="B7" s="96">
        <v>16</v>
      </c>
      <c r="C7" s="97" t="str">
        <f t="shared" si="0"/>
        <v>A2</v>
      </c>
    </row>
    <row r="8" spans="1:3" x14ac:dyDescent="0.35">
      <c r="A8" s="92">
        <v>7</v>
      </c>
      <c r="B8" s="93">
        <v>18</v>
      </c>
      <c r="C8" s="77" t="str">
        <f t="shared" si="0"/>
        <v>A3</v>
      </c>
    </row>
    <row r="9" spans="1:3" x14ac:dyDescent="0.35">
      <c r="A9" s="78">
        <v>8</v>
      </c>
      <c r="B9" s="78">
        <v>17</v>
      </c>
      <c r="C9" s="78" t="str">
        <f t="shared" si="0"/>
        <v>A3</v>
      </c>
    </row>
    <row r="10" spans="1:3" x14ac:dyDescent="0.35">
      <c r="A10" s="79">
        <v>9</v>
      </c>
      <c r="B10" s="77">
        <v>19</v>
      </c>
      <c r="C10" s="77" t="str">
        <f t="shared" si="0"/>
        <v>A3</v>
      </c>
    </row>
    <row r="11" spans="1:3" x14ac:dyDescent="0.35">
      <c r="A11" s="78">
        <v>10</v>
      </c>
      <c r="B11" s="78">
        <v>21</v>
      </c>
      <c r="C11" s="78" t="str">
        <f t="shared" si="0"/>
        <v>A4</v>
      </c>
    </row>
    <row r="12" spans="1:3" x14ac:dyDescent="0.35">
      <c r="A12" s="79">
        <v>11</v>
      </c>
      <c r="B12" s="77">
        <v>20</v>
      </c>
      <c r="C12" s="77" t="str">
        <f t="shared" si="0"/>
        <v>A4</v>
      </c>
    </row>
    <row r="13" spans="1:3" x14ac:dyDescent="0.35">
      <c r="A13" s="78">
        <v>12</v>
      </c>
      <c r="B13" s="78">
        <v>23</v>
      </c>
      <c r="C13" s="78" t="str">
        <f t="shared" si="0"/>
        <v>A5</v>
      </c>
    </row>
    <row r="14" spans="1:3" x14ac:dyDescent="0.35">
      <c r="A14" s="79">
        <v>13</v>
      </c>
      <c r="B14" s="77">
        <v>14</v>
      </c>
      <c r="C14" s="77" t="str">
        <f t="shared" si="0"/>
        <v>A2</v>
      </c>
    </row>
    <row r="15" spans="1:3" x14ac:dyDescent="0.35">
      <c r="A15" s="78">
        <v>14</v>
      </c>
      <c r="B15" s="78">
        <v>16</v>
      </c>
      <c r="C15" s="78" t="str">
        <f t="shared" si="0"/>
        <v>A2</v>
      </c>
    </row>
    <row r="16" spans="1:3" x14ac:dyDescent="0.35">
      <c r="A16" s="79">
        <v>15</v>
      </c>
      <c r="B16" s="77">
        <v>15</v>
      </c>
      <c r="C16" s="77" t="str">
        <f t="shared" si="0"/>
        <v>A2</v>
      </c>
    </row>
    <row r="17" spans="1:3" x14ac:dyDescent="0.35">
      <c r="A17" s="78">
        <v>16</v>
      </c>
      <c r="B17" s="78">
        <v>18</v>
      </c>
      <c r="C17" s="78" t="str">
        <f t="shared" si="0"/>
        <v>A3</v>
      </c>
    </row>
    <row r="18" spans="1:3" x14ac:dyDescent="0.35">
      <c r="A18" s="79">
        <v>17</v>
      </c>
      <c r="B18" s="77">
        <v>17</v>
      </c>
      <c r="C18" s="77" t="str">
        <f t="shared" si="0"/>
        <v>A3</v>
      </c>
    </row>
    <row r="19" spans="1:3" x14ac:dyDescent="0.35">
      <c r="A19" s="78">
        <v>18</v>
      </c>
      <c r="B19" s="78">
        <v>20</v>
      </c>
      <c r="C19" s="78" t="str">
        <f t="shared" si="0"/>
        <v>A4</v>
      </c>
    </row>
    <row r="20" spans="1:3" x14ac:dyDescent="0.35">
      <c r="A20" s="79">
        <v>19</v>
      </c>
      <c r="B20" s="77">
        <v>22</v>
      </c>
      <c r="C20" s="77" t="str">
        <f t="shared" si="0"/>
        <v>A4</v>
      </c>
    </row>
    <row r="21" spans="1:3" x14ac:dyDescent="0.35">
      <c r="A21" s="78">
        <v>20</v>
      </c>
      <c r="B21" s="78">
        <v>21</v>
      </c>
      <c r="C21" s="78" t="str">
        <f t="shared" si="0"/>
        <v>A4</v>
      </c>
    </row>
    <row r="22" spans="1:3" x14ac:dyDescent="0.35">
      <c r="A22" s="79">
        <v>21</v>
      </c>
      <c r="B22" s="77">
        <v>24</v>
      </c>
      <c r="C22" s="77" t="str">
        <f t="shared" si="0"/>
        <v>A5</v>
      </c>
    </row>
    <row r="23" spans="1:3" x14ac:dyDescent="0.35">
      <c r="A23" s="78">
        <v>22</v>
      </c>
      <c r="B23" s="78">
        <v>23</v>
      </c>
      <c r="C23" s="78" t="str">
        <f t="shared" si="0"/>
        <v>A5</v>
      </c>
    </row>
    <row r="24" spans="1:3" x14ac:dyDescent="0.35">
      <c r="A24" s="79">
        <v>23</v>
      </c>
      <c r="B24" s="77">
        <v>25</v>
      </c>
      <c r="C24" s="77" t="str">
        <f t="shared" si="0"/>
        <v>A5</v>
      </c>
    </row>
    <row r="25" spans="1:3" x14ac:dyDescent="0.35">
      <c r="A25" s="78">
        <v>24</v>
      </c>
      <c r="B25" s="78">
        <v>27</v>
      </c>
      <c r="C25" s="78" t="str">
        <f t="shared" si="0"/>
        <v>A6</v>
      </c>
    </row>
    <row r="26" spans="1:3" x14ac:dyDescent="0.35">
      <c r="A26" s="79">
        <v>25</v>
      </c>
      <c r="B26" s="77">
        <v>16</v>
      </c>
      <c r="C26" s="77" t="str">
        <f t="shared" si="0"/>
        <v>A2</v>
      </c>
    </row>
    <row r="27" spans="1:3" x14ac:dyDescent="0.35">
      <c r="A27" s="78">
        <v>26</v>
      </c>
      <c r="B27" s="78">
        <v>18</v>
      </c>
      <c r="C27" s="78" t="str">
        <f t="shared" si="0"/>
        <v>A3</v>
      </c>
    </row>
    <row r="28" spans="1:3" x14ac:dyDescent="0.35">
      <c r="A28" s="79">
        <v>27</v>
      </c>
      <c r="B28" s="77">
        <v>17</v>
      </c>
      <c r="C28" s="77" t="str">
        <f t="shared" si="0"/>
        <v>A3</v>
      </c>
    </row>
    <row r="29" spans="1:3" x14ac:dyDescent="0.35">
      <c r="A29" s="78">
        <v>28</v>
      </c>
      <c r="B29" s="78">
        <v>19</v>
      </c>
      <c r="C29" s="78" t="str">
        <f t="shared" si="0"/>
        <v>A3</v>
      </c>
    </row>
    <row r="30" spans="1:3" x14ac:dyDescent="0.35">
      <c r="A30" s="79">
        <v>29</v>
      </c>
      <c r="B30" s="77">
        <v>21</v>
      </c>
      <c r="C30" s="77" t="str">
        <f t="shared" si="0"/>
        <v>A4</v>
      </c>
    </row>
    <row r="31" spans="1:3" x14ac:dyDescent="0.35">
      <c r="A31" s="78">
        <v>30</v>
      </c>
      <c r="B31" s="78">
        <v>20</v>
      </c>
      <c r="C31" s="78" t="str">
        <f t="shared" si="0"/>
        <v>A4</v>
      </c>
    </row>
    <row r="32" spans="1:3" x14ac:dyDescent="0.35">
      <c r="A32" s="79">
        <v>31</v>
      </c>
      <c r="B32" s="77">
        <v>23</v>
      </c>
      <c r="C32" s="77" t="str">
        <f t="shared" si="0"/>
        <v>A5</v>
      </c>
    </row>
    <row r="33" spans="1:3" x14ac:dyDescent="0.35">
      <c r="A33" s="78">
        <v>32</v>
      </c>
      <c r="B33" s="78">
        <v>25</v>
      </c>
      <c r="C33" s="78" t="str">
        <f t="shared" si="0"/>
        <v>A5</v>
      </c>
    </row>
    <row r="34" spans="1:3" x14ac:dyDescent="0.35">
      <c r="A34" s="79">
        <v>33</v>
      </c>
      <c r="B34" s="77">
        <v>24</v>
      </c>
      <c r="C34" s="77" t="str">
        <f t="shared" ref="C34:C61" si="1">IF(AND(B34&gt;=11,B34&lt;14),"A1",
IF(AND(B34&gt;=14,B34&lt;17),"A2",
IF(AND(B34&gt;=17,B34&lt;20),"A3",
IF(AND(B34&gt;=20,B34&lt;23),"A4",
IF(AND(B34&gt;=23,B34&lt;26),"A5",
IF(AND(B34&gt;=26,B34&lt;29),"A6",
"A7"))))))</f>
        <v>A5</v>
      </c>
    </row>
    <row r="35" spans="1:3" x14ac:dyDescent="0.35">
      <c r="A35" s="78">
        <v>34</v>
      </c>
      <c r="B35" s="78">
        <v>26</v>
      </c>
      <c r="C35" s="78" t="str">
        <f t="shared" si="1"/>
        <v>A6</v>
      </c>
    </row>
    <row r="36" spans="1:3" x14ac:dyDescent="0.35">
      <c r="A36" s="79">
        <v>35</v>
      </c>
      <c r="B36" s="77">
        <v>28</v>
      </c>
      <c r="C36" s="77" t="str">
        <f t="shared" si="1"/>
        <v>A6</v>
      </c>
    </row>
    <row r="37" spans="1:3" x14ac:dyDescent="0.35">
      <c r="A37" s="78">
        <v>36</v>
      </c>
      <c r="B37" s="78">
        <v>30</v>
      </c>
      <c r="C37" s="78" t="str">
        <f t="shared" si="1"/>
        <v>A7</v>
      </c>
    </row>
    <row r="38" spans="1:3" x14ac:dyDescent="0.35">
      <c r="A38" s="79">
        <v>37</v>
      </c>
      <c r="B38" s="77">
        <v>18</v>
      </c>
      <c r="C38" s="77" t="str">
        <f t="shared" si="1"/>
        <v>A3</v>
      </c>
    </row>
    <row r="39" spans="1:3" x14ac:dyDescent="0.35">
      <c r="A39" s="78">
        <v>38</v>
      </c>
      <c r="B39" s="78">
        <v>17</v>
      </c>
      <c r="C39" s="78" t="str">
        <f t="shared" si="1"/>
        <v>A3</v>
      </c>
    </row>
    <row r="40" spans="1:3" x14ac:dyDescent="0.35">
      <c r="A40" s="79">
        <v>39</v>
      </c>
      <c r="B40" s="77">
        <v>20</v>
      </c>
      <c r="C40" s="77" t="str">
        <f t="shared" si="1"/>
        <v>A4</v>
      </c>
    </row>
    <row r="41" spans="1:3" x14ac:dyDescent="0.35">
      <c r="A41" s="78">
        <v>40</v>
      </c>
      <c r="B41" s="78">
        <v>22</v>
      </c>
      <c r="C41" s="78" t="str">
        <f t="shared" si="1"/>
        <v>A4</v>
      </c>
    </row>
    <row r="42" spans="1:3" x14ac:dyDescent="0.35">
      <c r="A42" s="79">
        <v>41</v>
      </c>
      <c r="B42" s="77">
        <v>21</v>
      </c>
      <c r="C42" s="77" t="str">
        <f t="shared" si="1"/>
        <v>A4</v>
      </c>
    </row>
    <row r="43" spans="1:3" x14ac:dyDescent="0.35">
      <c r="A43" s="78">
        <v>42</v>
      </c>
      <c r="B43" s="78">
        <v>24</v>
      </c>
      <c r="C43" s="78" t="str">
        <f t="shared" si="1"/>
        <v>A5</v>
      </c>
    </row>
    <row r="44" spans="1:3" x14ac:dyDescent="0.35">
      <c r="A44" s="79">
        <v>43</v>
      </c>
      <c r="B44" s="77">
        <v>26</v>
      </c>
      <c r="C44" s="77" t="str">
        <f t="shared" si="1"/>
        <v>A6</v>
      </c>
    </row>
    <row r="45" spans="1:3" x14ac:dyDescent="0.35">
      <c r="A45" s="78">
        <v>44</v>
      </c>
      <c r="B45" s="78">
        <v>25</v>
      </c>
      <c r="C45" s="78" t="str">
        <f t="shared" si="1"/>
        <v>A5</v>
      </c>
    </row>
    <row r="46" spans="1:3" x14ac:dyDescent="0.35">
      <c r="A46" s="79">
        <v>45</v>
      </c>
      <c r="B46" s="77">
        <v>27</v>
      </c>
      <c r="C46" s="77" t="str">
        <f t="shared" si="1"/>
        <v>A6</v>
      </c>
    </row>
    <row r="47" spans="1:3" x14ac:dyDescent="0.35">
      <c r="A47" s="78">
        <v>46</v>
      </c>
      <c r="B47" s="78">
        <v>29</v>
      </c>
      <c r="C47" s="78" t="str">
        <f t="shared" si="1"/>
        <v>A7</v>
      </c>
    </row>
    <row r="48" spans="1:3" x14ac:dyDescent="0.35">
      <c r="A48" s="79">
        <v>47</v>
      </c>
      <c r="B48" s="77">
        <v>30</v>
      </c>
      <c r="C48" s="77" t="str">
        <f t="shared" si="1"/>
        <v>A7</v>
      </c>
    </row>
    <row r="49" spans="1:3" x14ac:dyDescent="0.35">
      <c r="A49" s="78">
        <v>48</v>
      </c>
      <c r="B49" s="78">
        <v>28</v>
      </c>
      <c r="C49" s="78" t="str">
        <f t="shared" si="1"/>
        <v>A6</v>
      </c>
    </row>
    <row r="50" spans="1:3" x14ac:dyDescent="0.35">
      <c r="A50" s="79">
        <v>49</v>
      </c>
      <c r="B50" s="77">
        <v>19</v>
      </c>
      <c r="C50" s="77" t="str">
        <f t="shared" si="1"/>
        <v>A3</v>
      </c>
    </row>
    <row r="51" spans="1:3" x14ac:dyDescent="0.35">
      <c r="A51" s="78">
        <v>50</v>
      </c>
      <c r="B51" s="78">
        <v>21</v>
      </c>
      <c r="C51" s="78" t="str">
        <f t="shared" si="1"/>
        <v>A4</v>
      </c>
    </row>
    <row r="52" spans="1:3" x14ac:dyDescent="0.35">
      <c r="A52" s="79">
        <v>51</v>
      </c>
      <c r="B52" s="77">
        <v>20</v>
      </c>
      <c r="C52" s="77" t="str">
        <f t="shared" si="1"/>
        <v>A4</v>
      </c>
    </row>
    <row r="53" spans="1:3" x14ac:dyDescent="0.35">
      <c r="A53" s="78">
        <v>52</v>
      </c>
      <c r="B53" s="78">
        <v>23</v>
      </c>
      <c r="C53" s="78" t="str">
        <f t="shared" si="1"/>
        <v>A5</v>
      </c>
    </row>
    <row r="54" spans="1:3" x14ac:dyDescent="0.35">
      <c r="A54" s="79">
        <v>53</v>
      </c>
      <c r="B54" s="77">
        <v>25</v>
      </c>
      <c r="C54" s="77" t="str">
        <f t="shared" si="1"/>
        <v>A5</v>
      </c>
    </row>
    <row r="55" spans="1:3" x14ac:dyDescent="0.35">
      <c r="A55" s="78">
        <v>54</v>
      </c>
      <c r="B55" s="78">
        <v>24</v>
      </c>
      <c r="C55" s="78" t="str">
        <f t="shared" si="1"/>
        <v>A5</v>
      </c>
    </row>
    <row r="56" spans="1:3" x14ac:dyDescent="0.35">
      <c r="A56" s="79">
        <v>55</v>
      </c>
      <c r="B56" s="77">
        <v>27</v>
      </c>
      <c r="C56" s="77" t="str">
        <f t="shared" si="1"/>
        <v>A6</v>
      </c>
    </row>
    <row r="57" spans="1:3" x14ac:dyDescent="0.35">
      <c r="A57" s="78">
        <v>56</v>
      </c>
      <c r="B57" s="78">
        <v>30</v>
      </c>
      <c r="C57" s="78" t="str">
        <f t="shared" si="1"/>
        <v>A7</v>
      </c>
    </row>
    <row r="58" spans="1:3" x14ac:dyDescent="0.35">
      <c r="A58" s="79">
        <v>57</v>
      </c>
      <c r="B58" s="77">
        <v>28</v>
      </c>
      <c r="C58" s="77" t="str">
        <f t="shared" si="1"/>
        <v>A6</v>
      </c>
    </row>
    <row r="59" spans="1:3" x14ac:dyDescent="0.35">
      <c r="A59" s="78">
        <v>58</v>
      </c>
      <c r="B59" s="78">
        <v>29</v>
      </c>
      <c r="C59" s="78" t="str">
        <f t="shared" si="1"/>
        <v>A7</v>
      </c>
    </row>
    <row r="60" spans="1:3" x14ac:dyDescent="0.35">
      <c r="A60" s="79">
        <v>59</v>
      </c>
      <c r="B60" s="77">
        <v>27</v>
      </c>
      <c r="C60" s="77" t="str">
        <f t="shared" si="1"/>
        <v>A6</v>
      </c>
    </row>
    <row r="61" spans="1:3" x14ac:dyDescent="0.35">
      <c r="A61" s="78">
        <v>60</v>
      </c>
      <c r="B61" s="78">
        <v>30</v>
      </c>
      <c r="C61" s="78" t="str">
        <f t="shared" si="1"/>
        <v>A7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zoomScaleNormal="100" workbookViewId="0">
      <selection activeCell="G11" sqref="G11"/>
    </sheetView>
  </sheetViews>
  <sheetFormatPr defaultRowHeight="14.5" x14ac:dyDescent="0.35"/>
  <cols>
    <col min="1" max="1" width="7.26953125" bestFit="1" customWidth="1"/>
    <col min="2" max="2" width="12.08984375" bestFit="1" customWidth="1"/>
    <col min="3" max="3" width="9.54296875" bestFit="1" customWidth="1"/>
    <col min="4" max="4" width="7" bestFit="1" customWidth="1"/>
  </cols>
  <sheetData>
    <row r="1" spans="1:4" ht="26.5" customHeight="1" x14ac:dyDescent="0.35">
      <c r="A1" s="12" t="s">
        <v>103</v>
      </c>
      <c r="B1" s="12" t="s">
        <v>131</v>
      </c>
      <c r="C1" s="12" t="s">
        <v>132</v>
      </c>
      <c r="D1" s="12" t="s">
        <v>133</v>
      </c>
    </row>
    <row r="2" spans="1:4" x14ac:dyDescent="0.35">
      <c r="A2" s="10">
        <v>1</v>
      </c>
      <c r="B2" s="11" t="str">
        <f>FUZZIFIKASI!C2</f>
        <v>A1</v>
      </c>
      <c r="C2" s="11" t="str">
        <f>FUZZIFIKASI!C3</f>
        <v>A1</v>
      </c>
      <c r="D2" s="11" t="str">
        <f t="shared" ref="D2:D33" si="0">B2&amp;"→"&amp;C2</f>
        <v>A1→A1</v>
      </c>
    </row>
    <row r="3" spans="1:4" x14ac:dyDescent="0.35">
      <c r="A3" s="11">
        <v>2</v>
      </c>
      <c r="B3" s="11" t="str">
        <f>FUZZIFIKASI!C3</f>
        <v>A1</v>
      </c>
      <c r="C3" s="11" t="str">
        <f>FUZZIFIKASI!C4</f>
        <v>A1</v>
      </c>
      <c r="D3" s="11" t="str">
        <f t="shared" si="0"/>
        <v>A1→A1</v>
      </c>
    </row>
    <row r="4" spans="1:4" x14ac:dyDescent="0.35">
      <c r="A4" s="10">
        <v>3</v>
      </c>
      <c r="B4" s="11" t="str">
        <f>FUZZIFIKASI!C4</f>
        <v>A1</v>
      </c>
      <c r="C4" s="11" t="str">
        <f>FUZZIFIKASI!C5</f>
        <v>A2</v>
      </c>
      <c r="D4" s="11" t="str">
        <f t="shared" si="0"/>
        <v>A1→A2</v>
      </c>
    </row>
    <row r="5" spans="1:4" x14ac:dyDescent="0.35">
      <c r="A5" s="11">
        <v>4</v>
      </c>
      <c r="B5" s="11" t="str">
        <f>FUZZIFIKASI!C5</f>
        <v>A2</v>
      </c>
      <c r="C5" s="11" t="str">
        <f>FUZZIFIKASI!C6</f>
        <v>A2</v>
      </c>
      <c r="D5" s="11" t="str">
        <f t="shared" si="0"/>
        <v>A2→A2</v>
      </c>
    </row>
    <row r="6" spans="1:4" x14ac:dyDescent="0.35">
      <c r="A6" s="10">
        <v>5</v>
      </c>
      <c r="B6" s="11" t="str">
        <f>FUZZIFIKASI!C6</f>
        <v>A2</v>
      </c>
      <c r="C6" s="11" t="str">
        <f>FUZZIFIKASI!C7</f>
        <v>A2</v>
      </c>
      <c r="D6" s="11" t="str">
        <f t="shared" si="0"/>
        <v>A2→A2</v>
      </c>
    </row>
    <row r="7" spans="1:4" x14ac:dyDescent="0.35">
      <c r="A7" s="11">
        <v>6</v>
      </c>
      <c r="B7" s="11" t="str">
        <f>FUZZIFIKASI!C7</f>
        <v>A2</v>
      </c>
      <c r="C7" s="11" t="str">
        <f>FUZZIFIKASI!C8</f>
        <v>A3</v>
      </c>
      <c r="D7" s="11" t="str">
        <f t="shared" si="0"/>
        <v>A2→A3</v>
      </c>
    </row>
    <row r="8" spans="1:4" x14ac:dyDescent="0.35">
      <c r="A8" s="10">
        <v>7</v>
      </c>
      <c r="B8" s="11" t="str">
        <f>FUZZIFIKASI!C8</f>
        <v>A3</v>
      </c>
      <c r="C8" s="11" t="str">
        <f>FUZZIFIKASI!C9</f>
        <v>A3</v>
      </c>
      <c r="D8" s="11" t="str">
        <f t="shared" si="0"/>
        <v>A3→A3</v>
      </c>
    </row>
    <row r="9" spans="1:4" x14ac:dyDescent="0.35">
      <c r="A9" s="11">
        <v>8</v>
      </c>
      <c r="B9" s="11" t="str">
        <f>FUZZIFIKASI!C9</f>
        <v>A3</v>
      </c>
      <c r="C9" s="11" t="str">
        <f>FUZZIFIKASI!C10</f>
        <v>A3</v>
      </c>
      <c r="D9" s="11" t="str">
        <f t="shared" si="0"/>
        <v>A3→A3</v>
      </c>
    </row>
    <row r="10" spans="1:4" x14ac:dyDescent="0.35">
      <c r="A10" s="10">
        <v>9</v>
      </c>
      <c r="B10" s="11" t="str">
        <f>FUZZIFIKASI!C10</f>
        <v>A3</v>
      </c>
      <c r="C10" s="11" t="str">
        <f>FUZZIFIKASI!C11</f>
        <v>A4</v>
      </c>
      <c r="D10" s="11" t="str">
        <f t="shared" si="0"/>
        <v>A3→A4</v>
      </c>
    </row>
    <row r="11" spans="1:4" x14ac:dyDescent="0.35">
      <c r="A11" s="11">
        <v>10</v>
      </c>
      <c r="B11" s="11" t="str">
        <f>FUZZIFIKASI!C11</f>
        <v>A4</v>
      </c>
      <c r="C11" s="11" t="str">
        <f>FUZZIFIKASI!C12</f>
        <v>A4</v>
      </c>
      <c r="D11" s="11" t="str">
        <f t="shared" si="0"/>
        <v>A4→A4</v>
      </c>
    </row>
    <row r="12" spans="1:4" x14ac:dyDescent="0.35">
      <c r="A12" s="10">
        <v>11</v>
      </c>
      <c r="B12" s="11" t="str">
        <f>FUZZIFIKASI!C12</f>
        <v>A4</v>
      </c>
      <c r="C12" s="11" t="str">
        <f>FUZZIFIKASI!C13</f>
        <v>A5</v>
      </c>
      <c r="D12" s="11" t="str">
        <f t="shared" si="0"/>
        <v>A4→A5</v>
      </c>
    </row>
    <row r="13" spans="1:4" x14ac:dyDescent="0.35">
      <c r="A13" s="11">
        <v>12</v>
      </c>
      <c r="B13" s="11" t="str">
        <f>FUZZIFIKASI!C13</f>
        <v>A5</v>
      </c>
      <c r="C13" s="11" t="str">
        <f>FUZZIFIKASI!C14</f>
        <v>A2</v>
      </c>
      <c r="D13" s="11" t="str">
        <f t="shared" si="0"/>
        <v>A5→A2</v>
      </c>
    </row>
    <row r="14" spans="1:4" x14ac:dyDescent="0.35">
      <c r="A14" s="10">
        <v>13</v>
      </c>
      <c r="B14" s="11" t="str">
        <f>FUZZIFIKASI!C14</f>
        <v>A2</v>
      </c>
      <c r="C14" s="11" t="str">
        <f>FUZZIFIKASI!C15</f>
        <v>A2</v>
      </c>
      <c r="D14" s="11" t="str">
        <f t="shared" si="0"/>
        <v>A2→A2</v>
      </c>
    </row>
    <row r="15" spans="1:4" x14ac:dyDescent="0.35">
      <c r="A15" s="11">
        <v>14</v>
      </c>
      <c r="B15" s="11" t="str">
        <f>FUZZIFIKASI!C15</f>
        <v>A2</v>
      </c>
      <c r="C15" s="11" t="str">
        <f>FUZZIFIKASI!C16</f>
        <v>A2</v>
      </c>
      <c r="D15" s="11" t="str">
        <f t="shared" si="0"/>
        <v>A2→A2</v>
      </c>
    </row>
    <row r="16" spans="1:4" x14ac:dyDescent="0.35">
      <c r="A16" s="10">
        <v>15</v>
      </c>
      <c r="B16" s="11" t="str">
        <f>FUZZIFIKASI!C16</f>
        <v>A2</v>
      </c>
      <c r="C16" s="11" t="str">
        <f>FUZZIFIKASI!C17</f>
        <v>A3</v>
      </c>
      <c r="D16" s="11" t="str">
        <f t="shared" si="0"/>
        <v>A2→A3</v>
      </c>
    </row>
    <row r="17" spans="1:4" x14ac:dyDescent="0.35">
      <c r="A17" s="11">
        <v>16</v>
      </c>
      <c r="B17" s="11" t="str">
        <f>FUZZIFIKASI!C17</f>
        <v>A3</v>
      </c>
      <c r="C17" s="11" t="str">
        <f>FUZZIFIKASI!C18</f>
        <v>A3</v>
      </c>
      <c r="D17" s="11" t="str">
        <f t="shared" si="0"/>
        <v>A3→A3</v>
      </c>
    </row>
    <row r="18" spans="1:4" x14ac:dyDescent="0.35">
      <c r="A18" s="10">
        <v>17</v>
      </c>
      <c r="B18" s="11" t="str">
        <f>FUZZIFIKASI!C18</f>
        <v>A3</v>
      </c>
      <c r="C18" s="11" t="str">
        <f>FUZZIFIKASI!C19</f>
        <v>A4</v>
      </c>
      <c r="D18" s="11" t="str">
        <f t="shared" si="0"/>
        <v>A3→A4</v>
      </c>
    </row>
    <row r="19" spans="1:4" x14ac:dyDescent="0.35">
      <c r="A19" s="11">
        <v>18</v>
      </c>
      <c r="B19" s="11" t="str">
        <f>FUZZIFIKASI!C19</f>
        <v>A4</v>
      </c>
      <c r="C19" s="11" t="str">
        <f>FUZZIFIKASI!C20</f>
        <v>A4</v>
      </c>
      <c r="D19" s="11" t="str">
        <f t="shared" si="0"/>
        <v>A4→A4</v>
      </c>
    </row>
    <row r="20" spans="1:4" x14ac:dyDescent="0.35">
      <c r="A20" s="10">
        <v>19</v>
      </c>
      <c r="B20" s="11" t="str">
        <f>FUZZIFIKASI!C20</f>
        <v>A4</v>
      </c>
      <c r="C20" s="11" t="str">
        <f>FUZZIFIKASI!C21</f>
        <v>A4</v>
      </c>
      <c r="D20" s="11" t="str">
        <f t="shared" si="0"/>
        <v>A4→A4</v>
      </c>
    </row>
    <row r="21" spans="1:4" x14ac:dyDescent="0.35">
      <c r="A21" s="11">
        <v>20</v>
      </c>
      <c r="B21" s="11" t="str">
        <f>FUZZIFIKASI!C21</f>
        <v>A4</v>
      </c>
      <c r="C21" s="11" t="str">
        <f>FUZZIFIKASI!C22</f>
        <v>A5</v>
      </c>
      <c r="D21" s="11" t="str">
        <f t="shared" si="0"/>
        <v>A4→A5</v>
      </c>
    </row>
    <row r="22" spans="1:4" x14ac:dyDescent="0.35">
      <c r="A22" s="10">
        <v>21</v>
      </c>
      <c r="B22" s="11" t="str">
        <f>FUZZIFIKASI!C22</f>
        <v>A5</v>
      </c>
      <c r="C22" s="11" t="str">
        <f>FUZZIFIKASI!C23</f>
        <v>A5</v>
      </c>
      <c r="D22" s="11" t="str">
        <f t="shared" si="0"/>
        <v>A5→A5</v>
      </c>
    </row>
    <row r="23" spans="1:4" x14ac:dyDescent="0.35">
      <c r="A23" s="11">
        <v>22</v>
      </c>
      <c r="B23" s="11" t="str">
        <f>FUZZIFIKASI!C23</f>
        <v>A5</v>
      </c>
      <c r="C23" s="11" t="str">
        <f>FUZZIFIKASI!C24</f>
        <v>A5</v>
      </c>
      <c r="D23" s="11" t="str">
        <f t="shared" si="0"/>
        <v>A5→A5</v>
      </c>
    </row>
    <row r="24" spans="1:4" x14ac:dyDescent="0.35">
      <c r="A24" s="10">
        <v>23</v>
      </c>
      <c r="B24" s="11" t="str">
        <f>FUZZIFIKASI!C24</f>
        <v>A5</v>
      </c>
      <c r="C24" s="11" t="str">
        <f>FUZZIFIKASI!C25</f>
        <v>A6</v>
      </c>
      <c r="D24" s="11" t="str">
        <f t="shared" si="0"/>
        <v>A5→A6</v>
      </c>
    </row>
    <row r="25" spans="1:4" x14ac:dyDescent="0.35">
      <c r="A25" s="11">
        <v>24</v>
      </c>
      <c r="B25" s="11" t="str">
        <f>FUZZIFIKASI!C25</f>
        <v>A6</v>
      </c>
      <c r="C25" s="11" t="str">
        <f>FUZZIFIKASI!C26</f>
        <v>A2</v>
      </c>
      <c r="D25" s="11" t="str">
        <f t="shared" si="0"/>
        <v>A6→A2</v>
      </c>
    </row>
    <row r="26" spans="1:4" x14ac:dyDescent="0.35">
      <c r="A26" s="10">
        <v>25</v>
      </c>
      <c r="B26" s="11" t="str">
        <f>FUZZIFIKASI!C26</f>
        <v>A2</v>
      </c>
      <c r="C26" s="11" t="str">
        <f>FUZZIFIKASI!C27</f>
        <v>A3</v>
      </c>
      <c r="D26" s="11" t="str">
        <f t="shared" si="0"/>
        <v>A2→A3</v>
      </c>
    </row>
    <row r="27" spans="1:4" x14ac:dyDescent="0.35">
      <c r="A27" s="11">
        <v>26</v>
      </c>
      <c r="B27" s="11" t="str">
        <f>FUZZIFIKASI!C27</f>
        <v>A3</v>
      </c>
      <c r="C27" s="11" t="str">
        <f>FUZZIFIKASI!C28</f>
        <v>A3</v>
      </c>
      <c r="D27" s="11" t="str">
        <f t="shared" si="0"/>
        <v>A3→A3</v>
      </c>
    </row>
    <row r="28" spans="1:4" x14ac:dyDescent="0.35">
      <c r="A28" s="10">
        <v>27</v>
      </c>
      <c r="B28" s="11" t="str">
        <f>FUZZIFIKASI!C28</f>
        <v>A3</v>
      </c>
      <c r="C28" s="11" t="str">
        <f>FUZZIFIKASI!C29</f>
        <v>A3</v>
      </c>
      <c r="D28" s="11" t="str">
        <f t="shared" si="0"/>
        <v>A3→A3</v>
      </c>
    </row>
    <row r="29" spans="1:4" x14ac:dyDescent="0.35">
      <c r="A29" s="11">
        <v>28</v>
      </c>
      <c r="B29" s="11" t="str">
        <f>FUZZIFIKASI!C29</f>
        <v>A3</v>
      </c>
      <c r="C29" s="11" t="str">
        <f>FUZZIFIKASI!C30</f>
        <v>A4</v>
      </c>
      <c r="D29" s="11" t="str">
        <f t="shared" si="0"/>
        <v>A3→A4</v>
      </c>
    </row>
    <row r="30" spans="1:4" x14ac:dyDescent="0.35">
      <c r="A30" s="10">
        <v>29</v>
      </c>
      <c r="B30" s="11" t="str">
        <f>FUZZIFIKASI!C30</f>
        <v>A4</v>
      </c>
      <c r="C30" s="11" t="str">
        <f>FUZZIFIKASI!C31</f>
        <v>A4</v>
      </c>
      <c r="D30" s="11" t="str">
        <f t="shared" si="0"/>
        <v>A4→A4</v>
      </c>
    </row>
    <row r="31" spans="1:4" x14ac:dyDescent="0.35">
      <c r="A31" s="11">
        <v>30</v>
      </c>
      <c r="B31" s="11" t="str">
        <f>FUZZIFIKASI!C31</f>
        <v>A4</v>
      </c>
      <c r="C31" s="11" t="str">
        <f>FUZZIFIKASI!C32</f>
        <v>A5</v>
      </c>
      <c r="D31" s="11" t="str">
        <f t="shared" si="0"/>
        <v>A4→A5</v>
      </c>
    </row>
    <row r="32" spans="1:4" x14ac:dyDescent="0.35">
      <c r="A32" s="10">
        <v>31</v>
      </c>
      <c r="B32" s="11" t="str">
        <f>FUZZIFIKASI!C32</f>
        <v>A5</v>
      </c>
      <c r="C32" s="11" t="str">
        <f>FUZZIFIKASI!C33</f>
        <v>A5</v>
      </c>
      <c r="D32" s="11" t="str">
        <f t="shared" si="0"/>
        <v>A5→A5</v>
      </c>
    </row>
    <row r="33" spans="1:4" x14ac:dyDescent="0.35">
      <c r="A33" s="11">
        <v>32</v>
      </c>
      <c r="B33" s="11" t="str">
        <f>FUZZIFIKASI!C33</f>
        <v>A5</v>
      </c>
      <c r="C33" s="11" t="str">
        <f>FUZZIFIKASI!C34</f>
        <v>A5</v>
      </c>
      <c r="D33" s="11" t="str">
        <f t="shared" si="0"/>
        <v>A5→A5</v>
      </c>
    </row>
    <row r="34" spans="1:4" x14ac:dyDescent="0.35">
      <c r="A34" s="10">
        <v>33</v>
      </c>
      <c r="B34" s="11" t="str">
        <f>FUZZIFIKASI!C34</f>
        <v>A5</v>
      </c>
      <c r="C34" s="11" t="str">
        <f>FUZZIFIKASI!C35</f>
        <v>A6</v>
      </c>
      <c r="D34" s="11" t="str">
        <f t="shared" ref="D34:D60" si="1">B34&amp;"→"&amp;C34</f>
        <v>A5→A6</v>
      </c>
    </row>
    <row r="35" spans="1:4" x14ac:dyDescent="0.35">
      <c r="A35" s="11">
        <v>34</v>
      </c>
      <c r="B35" s="11" t="str">
        <f>FUZZIFIKASI!C35</f>
        <v>A6</v>
      </c>
      <c r="C35" s="11" t="str">
        <f>FUZZIFIKASI!C36</f>
        <v>A6</v>
      </c>
      <c r="D35" s="11" t="str">
        <f t="shared" si="1"/>
        <v>A6→A6</v>
      </c>
    </row>
    <row r="36" spans="1:4" x14ac:dyDescent="0.35">
      <c r="A36" s="10">
        <v>35</v>
      </c>
      <c r="B36" s="11" t="str">
        <f>FUZZIFIKASI!C36</f>
        <v>A6</v>
      </c>
      <c r="C36" s="11" t="str">
        <f>FUZZIFIKASI!C37</f>
        <v>A7</v>
      </c>
      <c r="D36" s="11" t="str">
        <f t="shared" si="1"/>
        <v>A6→A7</v>
      </c>
    </row>
    <row r="37" spans="1:4" x14ac:dyDescent="0.35">
      <c r="A37" s="11">
        <v>36</v>
      </c>
      <c r="B37" s="11" t="str">
        <f>FUZZIFIKASI!C37</f>
        <v>A7</v>
      </c>
      <c r="C37" s="11" t="str">
        <f>FUZZIFIKASI!C38</f>
        <v>A3</v>
      </c>
      <c r="D37" s="11" t="str">
        <f t="shared" si="1"/>
        <v>A7→A3</v>
      </c>
    </row>
    <row r="38" spans="1:4" x14ac:dyDescent="0.35">
      <c r="A38" s="10">
        <v>37</v>
      </c>
      <c r="B38" s="11" t="str">
        <f>FUZZIFIKASI!C38</f>
        <v>A3</v>
      </c>
      <c r="C38" s="11" t="str">
        <f>FUZZIFIKASI!C39</f>
        <v>A3</v>
      </c>
      <c r="D38" s="11" t="str">
        <f t="shared" si="1"/>
        <v>A3→A3</v>
      </c>
    </row>
    <row r="39" spans="1:4" x14ac:dyDescent="0.35">
      <c r="A39" s="11">
        <v>38</v>
      </c>
      <c r="B39" s="11" t="str">
        <f>FUZZIFIKASI!C39</f>
        <v>A3</v>
      </c>
      <c r="C39" s="11" t="str">
        <f>FUZZIFIKASI!C40</f>
        <v>A4</v>
      </c>
      <c r="D39" s="11" t="str">
        <f t="shared" si="1"/>
        <v>A3→A4</v>
      </c>
    </row>
    <row r="40" spans="1:4" x14ac:dyDescent="0.35">
      <c r="A40" s="10">
        <v>39</v>
      </c>
      <c r="B40" s="11" t="str">
        <f>FUZZIFIKASI!C40</f>
        <v>A4</v>
      </c>
      <c r="C40" s="11" t="str">
        <f>FUZZIFIKASI!C41</f>
        <v>A4</v>
      </c>
      <c r="D40" s="11" t="str">
        <f t="shared" si="1"/>
        <v>A4→A4</v>
      </c>
    </row>
    <row r="41" spans="1:4" x14ac:dyDescent="0.35">
      <c r="A41" s="11">
        <v>40</v>
      </c>
      <c r="B41" s="11" t="str">
        <f>FUZZIFIKASI!C41</f>
        <v>A4</v>
      </c>
      <c r="C41" s="11" t="str">
        <f>FUZZIFIKASI!C42</f>
        <v>A4</v>
      </c>
      <c r="D41" s="11" t="str">
        <f t="shared" si="1"/>
        <v>A4→A4</v>
      </c>
    </row>
    <row r="42" spans="1:4" x14ac:dyDescent="0.35">
      <c r="A42" s="10">
        <v>41</v>
      </c>
      <c r="B42" s="11" t="str">
        <f>FUZZIFIKASI!C42</f>
        <v>A4</v>
      </c>
      <c r="C42" s="11" t="str">
        <f>FUZZIFIKASI!C43</f>
        <v>A5</v>
      </c>
      <c r="D42" s="11" t="str">
        <f t="shared" si="1"/>
        <v>A4→A5</v>
      </c>
    </row>
    <row r="43" spans="1:4" x14ac:dyDescent="0.35">
      <c r="A43" s="11">
        <v>42</v>
      </c>
      <c r="B43" s="11" t="str">
        <f>FUZZIFIKASI!C43</f>
        <v>A5</v>
      </c>
      <c r="C43" s="11" t="str">
        <f>FUZZIFIKASI!C44</f>
        <v>A6</v>
      </c>
      <c r="D43" s="11" t="str">
        <f t="shared" si="1"/>
        <v>A5→A6</v>
      </c>
    </row>
    <row r="44" spans="1:4" x14ac:dyDescent="0.35">
      <c r="A44" s="10">
        <v>43</v>
      </c>
      <c r="B44" s="11" t="str">
        <f>FUZZIFIKASI!C44</f>
        <v>A6</v>
      </c>
      <c r="C44" s="11" t="str">
        <f>FUZZIFIKASI!C45</f>
        <v>A5</v>
      </c>
      <c r="D44" s="11" t="str">
        <f t="shared" si="1"/>
        <v>A6→A5</v>
      </c>
    </row>
    <row r="45" spans="1:4" x14ac:dyDescent="0.35">
      <c r="A45" s="11">
        <v>44</v>
      </c>
      <c r="B45" s="11" t="str">
        <f>FUZZIFIKASI!C45</f>
        <v>A5</v>
      </c>
      <c r="C45" s="11" t="str">
        <f>FUZZIFIKASI!C46</f>
        <v>A6</v>
      </c>
      <c r="D45" s="11" t="str">
        <f t="shared" si="1"/>
        <v>A5→A6</v>
      </c>
    </row>
    <row r="46" spans="1:4" x14ac:dyDescent="0.35">
      <c r="A46" s="10">
        <v>45</v>
      </c>
      <c r="B46" s="11" t="str">
        <f>FUZZIFIKASI!C46</f>
        <v>A6</v>
      </c>
      <c r="C46" s="11" t="str">
        <f>FUZZIFIKASI!C47</f>
        <v>A7</v>
      </c>
      <c r="D46" s="11" t="str">
        <f t="shared" si="1"/>
        <v>A6→A7</v>
      </c>
    </row>
    <row r="47" spans="1:4" x14ac:dyDescent="0.35">
      <c r="A47" s="11">
        <v>46</v>
      </c>
      <c r="B47" s="11" t="str">
        <f>FUZZIFIKASI!C47</f>
        <v>A7</v>
      </c>
      <c r="C47" s="11" t="str">
        <f>FUZZIFIKASI!C48</f>
        <v>A7</v>
      </c>
      <c r="D47" s="11" t="str">
        <f t="shared" si="1"/>
        <v>A7→A7</v>
      </c>
    </row>
    <row r="48" spans="1:4" x14ac:dyDescent="0.35">
      <c r="A48" s="10">
        <v>47</v>
      </c>
      <c r="B48" s="11" t="str">
        <f>FUZZIFIKASI!C48</f>
        <v>A7</v>
      </c>
      <c r="C48" s="11" t="str">
        <f>FUZZIFIKASI!C49</f>
        <v>A6</v>
      </c>
      <c r="D48" s="11" t="str">
        <f t="shared" si="1"/>
        <v>A7→A6</v>
      </c>
    </row>
    <row r="49" spans="1:4" x14ac:dyDescent="0.35">
      <c r="A49" s="11">
        <v>48</v>
      </c>
      <c r="B49" s="11" t="str">
        <f>FUZZIFIKASI!C49</f>
        <v>A6</v>
      </c>
      <c r="C49" s="11" t="str">
        <f>FUZZIFIKASI!C50</f>
        <v>A3</v>
      </c>
      <c r="D49" s="11" t="str">
        <f t="shared" si="1"/>
        <v>A6→A3</v>
      </c>
    </row>
    <row r="50" spans="1:4" x14ac:dyDescent="0.35">
      <c r="A50" s="10">
        <v>49</v>
      </c>
      <c r="B50" s="11" t="str">
        <f>FUZZIFIKASI!C50</f>
        <v>A3</v>
      </c>
      <c r="C50" s="11" t="str">
        <f>FUZZIFIKASI!C51</f>
        <v>A4</v>
      </c>
      <c r="D50" s="11" t="str">
        <f t="shared" si="1"/>
        <v>A3→A4</v>
      </c>
    </row>
    <row r="51" spans="1:4" x14ac:dyDescent="0.35">
      <c r="A51" s="11">
        <v>50</v>
      </c>
      <c r="B51" s="11" t="str">
        <f>FUZZIFIKASI!C51</f>
        <v>A4</v>
      </c>
      <c r="C51" s="11" t="str">
        <f>FUZZIFIKASI!C52</f>
        <v>A4</v>
      </c>
      <c r="D51" s="11" t="str">
        <f t="shared" si="1"/>
        <v>A4→A4</v>
      </c>
    </row>
    <row r="52" spans="1:4" x14ac:dyDescent="0.35">
      <c r="A52" s="10">
        <v>51</v>
      </c>
      <c r="B52" s="11" t="str">
        <f>FUZZIFIKASI!C52</f>
        <v>A4</v>
      </c>
      <c r="C52" s="11" t="str">
        <f>FUZZIFIKASI!C53</f>
        <v>A5</v>
      </c>
      <c r="D52" s="11" t="str">
        <f t="shared" si="1"/>
        <v>A4→A5</v>
      </c>
    </row>
    <row r="53" spans="1:4" x14ac:dyDescent="0.35">
      <c r="A53" s="11">
        <v>52</v>
      </c>
      <c r="B53" s="11" t="str">
        <f>FUZZIFIKASI!C53</f>
        <v>A5</v>
      </c>
      <c r="C53" s="11" t="str">
        <f>FUZZIFIKASI!C54</f>
        <v>A5</v>
      </c>
      <c r="D53" s="11" t="str">
        <f t="shared" si="1"/>
        <v>A5→A5</v>
      </c>
    </row>
    <row r="54" spans="1:4" x14ac:dyDescent="0.35">
      <c r="A54" s="10">
        <v>53</v>
      </c>
      <c r="B54" s="11" t="str">
        <f>FUZZIFIKASI!C54</f>
        <v>A5</v>
      </c>
      <c r="C54" s="11" t="str">
        <f>FUZZIFIKASI!C55</f>
        <v>A5</v>
      </c>
      <c r="D54" s="11" t="str">
        <f t="shared" si="1"/>
        <v>A5→A5</v>
      </c>
    </row>
    <row r="55" spans="1:4" x14ac:dyDescent="0.35">
      <c r="A55" s="11">
        <v>54</v>
      </c>
      <c r="B55" s="11" t="str">
        <f>FUZZIFIKASI!C55</f>
        <v>A5</v>
      </c>
      <c r="C55" s="11" t="str">
        <f>FUZZIFIKASI!C56</f>
        <v>A6</v>
      </c>
      <c r="D55" s="11" t="str">
        <f t="shared" si="1"/>
        <v>A5→A6</v>
      </c>
    </row>
    <row r="56" spans="1:4" x14ac:dyDescent="0.35">
      <c r="A56" s="10">
        <v>55</v>
      </c>
      <c r="B56" s="11" t="str">
        <f>FUZZIFIKASI!C56</f>
        <v>A6</v>
      </c>
      <c r="C56" s="11" t="str">
        <f>FUZZIFIKASI!C57</f>
        <v>A7</v>
      </c>
      <c r="D56" s="11" t="str">
        <f t="shared" si="1"/>
        <v>A6→A7</v>
      </c>
    </row>
    <row r="57" spans="1:4" x14ac:dyDescent="0.35">
      <c r="A57" s="11">
        <v>56</v>
      </c>
      <c r="B57" s="11" t="str">
        <f>FUZZIFIKASI!C57</f>
        <v>A7</v>
      </c>
      <c r="C57" s="11" t="str">
        <f>FUZZIFIKASI!C58</f>
        <v>A6</v>
      </c>
      <c r="D57" s="11" t="str">
        <f t="shared" si="1"/>
        <v>A7→A6</v>
      </c>
    </row>
    <row r="58" spans="1:4" x14ac:dyDescent="0.35">
      <c r="A58" s="10">
        <v>57</v>
      </c>
      <c r="B58" s="11" t="str">
        <f>FUZZIFIKASI!C58</f>
        <v>A6</v>
      </c>
      <c r="C58" s="11" t="str">
        <f>FUZZIFIKASI!C59</f>
        <v>A7</v>
      </c>
      <c r="D58" s="11" t="str">
        <f t="shared" si="1"/>
        <v>A6→A7</v>
      </c>
    </row>
    <row r="59" spans="1:4" x14ac:dyDescent="0.35">
      <c r="A59" s="11">
        <v>58</v>
      </c>
      <c r="B59" s="11" t="str">
        <f>FUZZIFIKASI!C59</f>
        <v>A7</v>
      </c>
      <c r="C59" s="11" t="str">
        <f>FUZZIFIKASI!C60</f>
        <v>A6</v>
      </c>
      <c r="D59" s="11" t="str">
        <f t="shared" si="1"/>
        <v>A7→A6</v>
      </c>
    </row>
    <row r="60" spans="1:4" x14ac:dyDescent="0.35">
      <c r="A60" s="10">
        <v>59</v>
      </c>
      <c r="B60" s="11" t="str">
        <f>FUZZIFIKASI!C60</f>
        <v>A6</v>
      </c>
      <c r="C60" s="11" t="str">
        <f>FUZZIFIKASI!C61</f>
        <v>A7</v>
      </c>
      <c r="D60" s="11" t="str">
        <f t="shared" si="1"/>
        <v>A6→A7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opLeftCell="A3" workbookViewId="0">
      <selection activeCell="A7" sqref="A7:B7"/>
    </sheetView>
  </sheetViews>
  <sheetFormatPr defaultRowHeight="14.5" x14ac:dyDescent="0.35"/>
  <cols>
    <col min="1" max="1" width="12.08984375" bestFit="1" customWidth="1"/>
    <col min="2" max="2" width="15.36328125" bestFit="1" customWidth="1"/>
  </cols>
  <sheetData>
    <row r="1" spans="1:2" x14ac:dyDescent="0.35">
      <c r="A1" s="12" t="s">
        <v>131</v>
      </c>
      <c r="B1" s="12" t="s">
        <v>134</v>
      </c>
    </row>
    <row r="2" spans="1:2" x14ac:dyDescent="0.35">
      <c r="A2" s="17" t="s">
        <v>122</v>
      </c>
      <c r="B2" s="17" t="s">
        <v>135</v>
      </c>
    </row>
    <row r="3" spans="1:2" x14ac:dyDescent="0.35">
      <c r="A3" s="98" t="s">
        <v>123</v>
      </c>
      <c r="B3" s="98" t="s">
        <v>136</v>
      </c>
    </row>
    <row r="4" spans="1:2" x14ac:dyDescent="0.35">
      <c r="A4" s="17" t="s">
        <v>124</v>
      </c>
      <c r="B4" s="17" t="s">
        <v>137</v>
      </c>
    </row>
    <row r="5" spans="1:2" x14ac:dyDescent="0.35">
      <c r="A5" s="98" t="s">
        <v>125</v>
      </c>
      <c r="B5" s="98" t="s">
        <v>138</v>
      </c>
    </row>
    <row r="6" spans="1:2" x14ac:dyDescent="0.35">
      <c r="A6" s="17" t="s">
        <v>126</v>
      </c>
      <c r="B6" s="17" t="s">
        <v>139</v>
      </c>
    </row>
    <row r="7" spans="1:2" x14ac:dyDescent="0.35">
      <c r="A7" s="98" t="s">
        <v>127</v>
      </c>
      <c r="B7" s="98" t="s">
        <v>140</v>
      </c>
    </row>
    <row r="8" spans="1:2" x14ac:dyDescent="0.35">
      <c r="A8" s="17" t="s">
        <v>128</v>
      </c>
      <c r="B8" s="17" t="s">
        <v>141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opLeftCell="A13" workbookViewId="0">
      <selection activeCell="A7" sqref="A7:C7"/>
    </sheetView>
  </sheetViews>
  <sheetFormatPr defaultRowHeight="14.5" x14ac:dyDescent="0.35"/>
  <cols>
    <col min="1" max="1" width="5.1796875" bestFit="1" customWidth="1"/>
    <col min="2" max="2" width="13.6328125" bestFit="1" customWidth="1"/>
    <col min="3" max="3" width="7.90625" bestFit="1" customWidth="1"/>
  </cols>
  <sheetData>
    <row r="1" spans="1:3" x14ac:dyDescent="0.35">
      <c r="A1" s="12" t="s">
        <v>142</v>
      </c>
      <c r="B1" s="12" t="s">
        <v>143</v>
      </c>
      <c r="C1" s="12" t="s">
        <v>105</v>
      </c>
    </row>
    <row r="2" spans="1:3" x14ac:dyDescent="0.35">
      <c r="A2" s="17" t="s">
        <v>122</v>
      </c>
      <c r="B2" s="17" t="s">
        <v>144</v>
      </c>
      <c r="C2" s="17">
        <v>14</v>
      </c>
    </row>
    <row r="3" spans="1:3" x14ac:dyDescent="0.35">
      <c r="A3" s="98" t="s">
        <v>123</v>
      </c>
      <c r="B3" s="98" t="s">
        <v>145</v>
      </c>
      <c r="C3" s="98">
        <v>17</v>
      </c>
    </row>
    <row r="4" spans="1:3" x14ac:dyDescent="0.35">
      <c r="A4" s="17" t="s">
        <v>124</v>
      </c>
      <c r="B4" s="17" t="s">
        <v>146</v>
      </c>
      <c r="C4" s="17">
        <v>20</v>
      </c>
    </row>
    <row r="5" spans="1:3" x14ac:dyDescent="0.35">
      <c r="A5" s="98" t="s">
        <v>125</v>
      </c>
      <c r="B5" s="98" t="s">
        <v>147</v>
      </c>
      <c r="C5" s="98">
        <v>23</v>
      </c>
    </row>
    <row r="6" spans="1:3" x14ac:dyDescent="0.35">
      <c r="A6" s="17" t="s">
        <v>126</v>
      </c>
      <c r="B6" s="17" t="s">
        <v>148</v>
      </c>
      <c r="C6" s="17">
        <v>22.5</v>
      </c>
    </row>
    <row r="7" spans="1:3" x14ac:dyDescent="0.35">
      <c r="A7" s="98" t="s">
        <v>127</v>
      </c>
      <c r="B7" s="98" t="s">
        <v>149</v>
      </c>
      <c r="C7" s="98">
        <v>23.3</v>
      </c>
    </row>
    <row r="8" spans="1:3" x14ac:dyDescent="0.35">
      <c r="A8" s="17" t="s">
        <v>128</v>
      </c>
      <c r="B8" s="17" t="s">
        <v>150</v>
      </c>
      <c r="C8" s="17">
        <v>25.5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zoomScale="85" zoomScaleNormal="85" workbookViewId="0">
      <selection activeCell="M16" sqref="M16"/>
    </sheetView>
  </sheetViews>
  <sheetFormatPr defaultRowHeight="14.5" x14ac:dyDescent="0.35"/>
  <cols>
    <col min="7" max="7" width="13.1796875" bestFit="1" customWidth="1"/>
    <col min="8" max="8" width="5.1796875" bestFit="1" customWidth="1"/>
    <col min="10" max="10" width="4.26953125" bestFit="1" customWidth="1"/>
    <col min="11" max="11" width="12.6328125" bestFit="1" customWidth="1"/>
  </cols>
  <sheetData>
    <row r="1" spans="1:14" x14ac:dyDescent="0.35">
      <c r="A1" s="12" t="s">
        <v>103</v>
      </c>
      <c r="B1" s="12" t="s">
        <v>104</v>
      </c>
      <c r="C1" s="12" t="s">
        <v>130</v>
      </c>
      <c r="D1" s="12" t="s">
        <v>105</v>
      </c>
      <c r="F1" s="15" t="s">
        <v>142</v>
      </c>
      <c r="G1" s="19" t="s">
        <v>80</v>
      </c>
      <c r="H1" s="16" t="s">
        <v>106</v>
      </c>
      <c r="I1" s="16" t="s">
        <v>107</v>
      </c>
      <c r="J1" s="16" t="s">
        <v>109</v>
      </c>
      <c r="K1" s="16" t="s">
        <v>108</v>
      </c>
      <c r="M1" s="16" t="s">
        <v>111</v>
      </c>
      <c r="N1" s="16" t="s">
        <v>110</v>
      </c>
    </row>
    <row r="2" spans="1:14" x14ac:dyDescent="0.35">
      <c r="A2" s="10">
        <v>1</v>
      </c>
      <c r="B2" s="10">
        <v>11</v>
      </c>
      <c r="C2" s="11" t="str">
        <f t="shared" ref="C2:C33" si="0">IF(AND(B2&gt;=11,B2&lt;14),"A1",
IF(AND(B2&gt;=14,B2&lt;17),"A2",
IF(AND(B2&gt;=17,B2&lt;20),"A3",
IF(AND(B2&gt;=20,B2&lt;23),"A4",
IF(AND(B2&gt;=23,B2&lt;26),"A5",
IF(AND(B2&gt;=26,B2&lt;29),"A6",
"A7"))))))</f>
        <v>A1</v>
      </c>
      <c r="D2" s="11">
        <f t="shared" ref="D2:D33" si="1">VLOOKUP(C2,$F$2:$G$8,2,FALSE)</f>
        <v>14</v>
      </c>
      <c r="F2" s="14" t="s">
        <v>122</v>
      </c>
      <c r="G2" s="18">
        <v>14</v>
      </c>
      <c r="H2" s="11">
        <f t="shared" ref="H2:H39" si="2">B2-D2</f>
        <v>-3</v>
      </c>
      <c r="I2" s="11">
        <f t="shared" ref="I2:I33" si="3">ABS(H2)</f>
        <v>3</v>
      </c>
      <c r="J2" s="11">
        <f t="shared" ref="J2:J33" si="4">(I2/B2)*100</f>
        <v>27.27272727272727</v>
      </c>
      <c r="K2" s="11">
        <f t="shared" ref="K2:K33" si="5">H2^2</f>
        <v>9</v>
      </c>
      <c r="M2" s="11">
        <f>AVERAGE(J2:J61)</f>
        <v>11.43687321563041</v>
      </c>
      <c r="N2" s="11">
        <f>AVERAGE(K2:K61)</f>
        <v>7.3518333333333317</v>
      </c>
    </row>
    <row r="3" spans="1:14" x14ac:dyDescent="0.35">
      <c r="A3" s="11">
        <v>2</v>
      </c>
      <c r="B3" s="11">
        <v>13</v>
      </c>
      <c r="C3" s="11" t="str">
        <f t="shared" si="0"/>
        <v>A1</v>
      </c>
      <c r="D3" s="11">
        <f t="shared" si="1"/>
        <v>14</v>
      </c>
      <c r="F3" s="14" t="s">
        <v>123</v>
      </c>
      <c r="G3" s="18">
        <v>17</v>
      </c>
      <c r="H3" s="11">
        <f t="shared" si="2"/>
        <v>-1</v>
      </c>
      <c r="I3" s="11">
        <f t="shared" si="3"/>
        <v>1</v>
      </c>
      <c r="J3" s="11">
        <f t="shared" si="4"/>
        <v>7.6923076923076925</v>
      </c>
      <c r="K3" s="11">
        <f t="shared" si="5"/>
        <v>1</v>
      </c>
    </row>
    <row r="4" spans="1:14" x14ac:dyDescent="0.35">
      <c r="A4" s="10">
        <v>3</v>
      </c>
      <c r="B4" s="11">
        <v>12</v>
      </c>
      <c r="C4" s="11" t="str">
        <f t="shared" si="0"/>
        <v>A1</v>
      </c>
      <c r="D4" s="11">
        <f t="shared" si="1"/>
        <v>14</v>
      </c>
      <c r="F4" s="14" t="s">
        <v>124</v>
      </c>
      <c r="G4" s="18">
        <v>20</v>
      </c>
      <c r="H4" s="11">
        <f t="shared" si="2"/>
        <v>-2</v>
      </c>
      <c r="I4" s="11">
        <f t="shared" si="3"/>
        <v>2</v>
      </c>
      <c r="J4" s="11">
        <f t="shared" si="4"/>
        <v>16.666666666666664</v>
      </c>
      <c r="K4" s="11">
        <f t="shared" si="5"/>
        <v>4</v>
      </c>
    </row>
    <row r="5" spans="1:14" x14ac:dyDescent="0.35">
      <c r="A5" s="11">
        <v>4</v>
      </c>
      <c r="B5" s="11">
        <v>15</v>
      </c>
      <c r="C5" s="11" t="str">
        <f t="shared" si="0"/>
        <v>A2</v>
      </c>
      <c r="D5" s="11">
        <f t="shared" si="1"/>
        <v>17</v>
      </c>
      <c r="F5" s="14" t="s">
        <v>125</v>
      </c>
      <c r="G5" s="18">
        <v>23</v>
      </c>
      <c r="H5" s="11">
        <f t="shared" si="2"/>
        <v>-2</v>
      </c>
      <c r="I5" s="11">
        <f t="shared" si="3"/>
        <v>2</v>
      </c>
      <c r="J5" s="11">
        <f t="shared" si="4"/>
        <v>13.333333333333334</v>
      </c>
      <c r="K5" s="11">
        <f t="shared" si="5"/>
        <v>4</v>
      </c>
    </row>
    <row r="6" spans="1:14" x14ac:dyDescent="0.35">
      <c r="A6" s="10">
        <v>5</v>
      </c>
      <c r="B6" s="11">
        <v>14</v>
      </c>
      <c r="C6" s="11" t="str">
        <f t="shared" si="0"/>
        <v>A2</v>
      </c>
      <c r="D6" s="11">
        <f t="shared" si="1"/>
        <v>17</v>
      </c>
      <c r="F6" s="14" t="s">
        <v>126</v>
      </c>
      <c r="G6" s="18">
        <v>22.5</v>
      </c>
      <c r="H6" s="11">
        <f t="shared" si="2"/>
        <v>-3</v>
      </c>
      <c r="I6" s="11">
        <f t="shared" si="3"/>
        <v>3</v>
      </c>
      <c r="J6" s="11">
        <f t="shared" si="4"/>
        <v>21.428571428571427</v>
      </c>
      <c r="K6" s="11">
        <f t="shared" si="5"/>
        <v>9</v>
      </c>
    </row>
    <row r="7" spans="1:14" x14ac:dyDescent="0.35">
      <c r="A7" s="11">
        <v>6</v>
      </c>
      <c r="B7" s="11">
        <v>16</v>
      </c>
      <c r="C7" s="11" t="str">
        <f t="shared" si="0"/>
        <v>A2</v>
      </c>
      <c r="D7" s="11">
        <f t="shared" si="1"/>
        <v>17</v>
      </c>
      <c r="F7" s="14" t="s">
        <v>127</v>
      </c>
      <c r="G7" s="18">
        <v>23.3</v>
      </c>
      <c r="H7" s="11">
        <f t="shared" si="2"/>
        <v>-1</v>
      </c>
      <c r="I7" s="11">
        <f t="shared" si="3"/>
        <v>1</v>
      </c>
      <c r="J7" s="11">
        <f t="shared" si="4"/>
        <v>6.25</v>
      </c>
      <c r="K7" s="11">
        <f t="shared" si="5"/>
        <v>1</v>
      </c>
    </row>
    <row r="8" spans="1:14" x14ac:dyDescent="0.35">
      <c r="A8" s="10">
        <v>7</v>
      </c>
      <c r="B8" s="11">
        <v>18</v>
      </c>
      <c r="C8" s="11" t="str">
        <f t="shared" si="0"/>
        <v>A3</v>
      </c>
      <c r="D8" s="11">
        <f t="shared" si="1"/>
        <v>20</v>
      </c>
      <c r="F8" s="14" t="s">
        <v>128</v>
      </c>
      <c r="G8" s="18">
        <v>25.5</v>
      </c>
      <c r="H8" s="11">
        <f t="shared" si="2"/>
        <v>-2</v>
      </c>
      <c r="I8" s="11">
        <f t="shared" si="3"/>
        <v>2</v>
      </c>
      <c r="J8" s="11">
        <f t="shared" si="4"/>
        <v>11.111111111111111</v>
      </c>
      <c r="K8" s="11">
        <f t="shared" si="5"/>
        <v>4</v>
      </c>
    </row>
    <row r="9" spans="1:14" x14ac:dyDescent="0.35">
      <c r="A9" s="11">
        <v>8</v>
      </c>
      <c r="B9" s="11">
        <v>17</v>
      </c>
      <c r="C9" s="11" t="str">
        <f t="shared" si="0"/>
        <v>A3</v>
      </c>
      <c r="D9" s="11">
        <f t="shared" si="1"/>
        <v>20</v>
      </c>
      <c r="H9" s="11">
        <f t="shared" si="2"/>
        <v>-3</v>
      </c>
      <c r="I9" s="11">
        <f t="shared" si="3"/>
        <v>3</v>
      </c>
      <c r="J9" s="11">
        <f t="shared" si="4"/>
        <v>17.647058823529413</v>
      </c>
      <c r="K9" s="11">
        <f t="shared" si="5"/>
        <v>9</v>
      </c>
    </row>
    <row r="10" spans="1:14" x14ac:dyDescent="0.35">
      <c r="A10" s="10">
        <v>9</v>
      </c>
      <c r="B10" s="11">
        <v>19</v>
      </c>
      <c r="C10" s="11" t="str">
        <f t="shared" si="0"/>
        <v>A3</v>
      </c>
      <c r="D10" s="11">
        <f t="shared" si="1"/>
        <v>20</v>
      </c>
      <c r="H10" s="11">
        <f t="shared" si="2"/>
        <v>-1</v>
      </c>
      <c r="I10" s="11">
        <f t="shared" si="3"/>
        <v>1</v>
      </c>
      <c r="J10" s="11">
        <f t="shared" si="4"/>
        <v>5.2631578947368416</v>
      </c>
      <c r="K10" s="11">
        <f t="shared" si="5"/>
        <v>1</v>
      </c>
    </row>
    <row r="11" spans="1:14" x14ac:dyDescent="0.35">
      <c r="A11" s="11">
        <v>10</v>
      </c>
      <c r="B11" s="11">
        <v>21</v>
      </c>
      <c r="C11" s="11" t="str">
        <f t="shared" si="0"/>
        <v>A4</v>
      </c>
      <c r="D11" s="11">
        <f t="shared" si="1"/>
        <v>23</v>
      </c>
      <c r="H11" s="11">
        <f t="shared" si="2"/>
        <v>-2</v>
      </c>
      <c r="I11" s="11">
        <f t="shared" si="3"/>
        <v>2</v>
      </c>
      <c r="J11" s="11">
        <f t="shared" si="4"/>
        <v>9.5238095238095237</v>
      </c>
      <c r="K11" s="11">
        <f t="shared" si="5"/>
        <v>4</v>
      </c>
    </row>
    <row r="12" spans="1:14" x14ac:dyDescent="0.35">
      <c r="A12" s="10">
        <v>11</v>
      </c>
      <c r="B12" s="11">
        <v>20</v>
      </c>
      <c r="C12" s="11" t="str">
        <f t="shared" si="0"/>
        <v>A4</v>
      </c>
      <c r="D12" s="11">
        <f t="shared" si="1"/>
        <v>23</v>
      </c>
      <c r="H12" s="11">
        <f t="shared" si="2"/>
        <v>-3</v>
      </c>
      <c r="I12" s="11">
        <f t="shared" si="3"/>
        <v>3</v>
      </c>
      <c r="J12" s="11">
        <f t="shared" si="4"/>
        <v>15</v>
      </c>
      <c r="K12" s="11">
        <f t="shared" si="5"/>
        <v>9</v>
      </c>
    </row>
    <row r="13" spans="1:14" x14ac:dyDescent="0.35">
      <c r="A13" s="11">
        <v>12</v>
      </c>
      <c r="B13" s="11">
        <v>23</v>
      </c>
      <c r="C13" s="11" t="str">
        <f t="shared" si="0"/>
        <v>A5</v>
      </c>
      <c r="D13" s="11">
        <f t="shared" si="1"/>
        <v>22.5</v>
      </c>
      <c r="H13" s="11">
        <f t="shared" si="2"/>
        <v>0.5</v>
      </c>
      <c r="I13" s="11">
        <f t="shared" si="3"/>
        <v>0.5</v>
      </c>
      <c r="J13" s="11">
        <f t="shared" si="4"/>
        <v>2.1739130434782608</v>
      </c>
      <c r="K13" s="11">
        <f t="shared" si="5"/>
        <v>0.25</v>
      </c>
    </row>
    <row r="14" spans="1:14" x14ac:dyDescent="0.35">
      <c r="A14" s="10">
        <v>13</v>
      </c>
      <c r="B14" s="11">
        <v>14</v>
      </c>
      <c r="C14" s="11" t="str">
        <f t="shared" si="0"/>
        <v>A2</v>
      </c>
      <c r="D14" s="11">
        <f t="shared" si="1"/>
        <v>17</v>
      </c>
      <c r="H14" s="11">
        <f t="shared" si="2"/>
        <v>-3</v>
      </c>
      <c r="I14" s="11">
        <f t="shared" si="3"/>
        <v>3</v>
      </c>
      <c r="J14" s="11">
        <f t="shared" si="4"/>
        <v>21.428571428571427</v>
      </c>
      <c r="K14" s="11">
        <f t="shared" si="5"/>
        <v>9</v>
      </c>
    </row>
    <row r="15" spans="1:14" x14ac:dyDescent="0.35">
      <c r="A15" s="11">
        <v>14</v>
      </c>
      <c r="B15" s="11">
        <v>16</v>
      </c>
      <c r="C15" s="11" t="str">
        <f t="shared" si="0"/>
        <v>A2</v>
      </c>
      <c r="D15" s="11">
        <f t="shared" si="1"/>
        <v>17</v>
      </c>
      <c r="H15" s="11">
        <f t="shared" si="2"/>
        <v>-1</v>
      </c>
      <c r="I15" s="11">
        <f t="shared" si="3"/>
        <v>1</v>
      </c>
      <c r="J15" s="11">
        <f t="shared" si="4"/>
        <v>6.25</v>
      </c>
      <c r="K15" s="11">
        <f t="shared" si="5"/>
        <v>1</v>
      </c>
    </row>
    <row r="16" spans="1:14" x14ac:dyDescent="0.35">
      <c r="A16" s="10">
        <v>15</v>
      </c>
      <c r="B16" s="11">
        <v>15</v>
      </c>
      <c r="C16" s="11" t="str">
        <f t="shared" si="0"/>
        <v>A2</v>
      </c>
      <c r="D16" s="11">
        <f t="shared" si="1"/>
        <v>17</v>
      </c>
      <c r="H16" s="11">
        <f t="shared" si="2"/>
        <v>-2</v>
      </c>
      <c r="I16" s="11">
        <f t="shared" si="3"/>
        <v>2</v>
      </c>
      <c r="J16" s="11">
        <f t="shared" si="4"/>
        <v>13.333333333333334</v>
      </c>
      <c r="K16" s="11">
        <f t="shared" si="5"/>
        <v>4</v>
      </c>
    </row>
    <row r="17" spans="1:11" x14ac:dyDescent="0.35">
      <c r="A17" s="11">
        <v>16</v>
      </c>
      <c r="B17" s="11">
        <v>18</v>
      </c>
      <c r="C17" s="11" t="str">
        <f t="shared" si="0"/>
        <v>A3</v>
      </c>
      <c r="D17" s="11">
        <f t="shared" si="1"/>
        <v>20</v>
      </c>
      <c r="H17" s="11">
        <f t="shared" si="2"/>
        <v>-2</v>
      </c>
      <c r="I17" s="11">
        <f t="shared" si="3"/>
        <v>2</v>
      </c>
      <c r="J17" s="11">
        <f t="shared" si="4"/>
        <v>11.111111111111111</v>
      </c>
      <c r="K17" s="11">
        <f t="shared" si="5"/>
        <v>4</v>
      </c>
    </row>
    <row r="18" spans="1:11" x14ac:dyDescent="0.35">
      <c r="A18" s="10">
        <v>17</v>
      </c>
      <c r="B18" s="11">
        <v>17</v>
      </c>
      <c r="C18" s="11" t="str">
        <f t="shared" si="0"/>
        <v>A3</v>
      </c>
      <c r="D18" s="11">
        <f t="shared" si="1"/>
        <v>20</v>
      </c>
      <c r="H18" s="11">
        <f t="shared" si="2"/>
        <v>-3</v>
      </c>
      <c r="I18" s="11">
        <f t="shared" si="3"/>
        <v>3</v>
      </c>
      <c r="J18" s="11">
        <f t="shared" si="4"/>
        <v>17.647058823529413</v>
      </c>
      <c r="K18" s="11">
        <f t="shared" si="5"/>
        <v>9</v>
      </c>
    </row>
    <row r="19" spans="1:11" x14ac:dyDescent="0.35">
      <c r="A19" s="11">
        <v>18</v>
      </c>
      <c r="B19" s="11">
        <v>20</v>
      </c>
      <c r="C19" s="11" t="str">
        <f t="shared" si="0"/>
        <v>A4</v>
      </c>
      <c r="D19" s="11">
        <f t="shared" si="1"/>
        <v>23</v>
      </c>
      <c r="H19" s="11">
        <f t="shared" si="2"/>
        <v>-3</v>
      </c>
      <c r="I19" s="11">
        <f t="shared" si="3"/>
        <v>3</v>
      </c>
      <c r="J19" s="11">
        <f t="shared" si="4"/>
        <v>15</v>
      </c>
      <c r="K19" s="11">
        <f t="shared" si="5"/>
        <v>9</v>
      </c>
    </row>
    <row r="20" spans="1:11" x14ac:dyDescent="0.35">
      <c r="A20" s="10">
        <v>19</v>
      </c>
      <c r="B20" s="11">
        <v>22</v>
      </c>
      <c r="C20" s="11" t="str">
        <f t="shared" si="0"/>
        <v>A4</v>
      </c>
      <c r="D20" s="11">
        <f t="shared" si="1"/>
        <v>23</v>
      </c>
      <c r="H20" s="11">
        <f t="shared" si="2"/>
        <v>-1</v>
      </c>
      <c r="I20" s="11">
        <f t="shared" si="3"/>
        <v>1</v>
      </c>
      <c r="J20" s="11">
        <f t="shared" si="4"/>
        <v>4.5454545454545459</v>
      </c>
      <c r="K20" s="11">
        <f t="shared" si="5"/>
        <v>1</v>
      </c>
    </row>
    <row r="21" spans="1:11" x14ac:dyDescent="0.35">
      <c r="A21" s="11">
        <v>20</v>
      </c>
      <c r="B21" s="11">
        <v>21</v>
      </c>
      <c r="C21" s="11" t="str">
        <f t="shared" si="0"/>
        <v>A4</v>
      </c>
      <c r="D21" s="11">
        <f t="shared" si="1"/>
        <v>23</v>
      </c>
      <c r="H21" s="11">
        <f t="shared" si="2"/>
        <v>-2</v>
      </c>
      <c r="I21" s="11">
        <f t="shared" si="3"/>
        <v>2</v>
      </c>
      <c r="J21" s="11">
        <f t="shared" si="4"/>
        <v>9.5238095238095237</v>
      </c>
      <c r="K21" s="11">
        <f t="shared" si="5"/>
        <v>4</v>
      </c>
    </row>
    <row r="22" spans="1:11" x14ac:dyDescent="0.35">
      <c r="A22" s="10">
        <v>21</v>
      </c>
      <c r="B22" s="11">
        <v>24</v>
      </c>
      <c r="C22" s="11" t="str">
        <f t="shared" si="0"/>
        <v>A5</v>
      </c>
      <c r="D22" s="11">
        <f t="shared" si="1"/>
        <v>22.5</v>
      </c>
      <c r="H22" s="11">
        <f t="shared" si="2"/>
        <v>1.5</v>
      </c>
      <c r="I22" s="11">
        <f t="shared" si="3"/>
        <v>1.5</v>
      </c>
      <c r="J22" s="11">
        <f t="shared" si="4"/>
        <v>6.25</v>
      </c>
      <c r="K22" s="11">
        <f t="shared" si="5"/>
        <v>2.25</v>
      </c>
    </row>
    <row r="23" spans="1:11" x14ac:dyDescent="0.35">
      <c r="A23" s="11">
        <v>22</v>
      </c>
      <c r="B23" s="11">
        <v>23</v>
      </c>
      <c r="C23" s="11" t="str">
        <f t="shared" si="0"/>
        <v>A5</v>
      </c>
      <c r="D23" s="11">
        <f t="shared" si="1"/>
        <v>22.5</v>
      </c>
      <c r="H23" s="11">
        <f t="shared" si="2"/>
        <v>0.5</v>
      </c>
      <c r="I23" s="11">
        <f t="shared" si="3"/>
        <v>0.5</v>
      </c>
      <c r="J23" s="11">
        <f t="shared" si="4"/>
        <v>2.1739130434782608</v>
      </c>
      <c r="K23" s="11">
        <f t="shared" si="5"/>
        <v>0.25</v>
      </c>
    </row>
    <row r="24" spans="1:11" x14ac:dyDescent="0.35">
      <c r="A24" s="10">
        <v>23</v>
      </c>
      <c r="B24" s="11">
        <v>25</v>
      </c>
      <c r="C24" s="11" t="str">
        <f t="shared" si="0"/>
        <v>A5</v>
      </c>
      <c r="D24" s="11">
        <f t="shared" si="1"/>
        <v>22.5</v>
      </c>
      <c r="H24" s="11">
        <f t="shared" si="2"/>
        <v>2.5</v>
      </c>
      <c r="I24" s="11">
        <f t="shared" si="3"/>
        <v>2.5</v>
      </c>
      <c r="J24" s="11">
        <f t="shared" si="4"/>
        <v>10</v>
      </c>
      <c r="K24" s="11">
        <f t="shared" si="5"/>
        <v>6.25</v>
      </c>
    </row>
    <row r="25" spans="1:11" x14ac:dyDescent="0.35">
      <c r="A25" s="11">
        <v>24</v>
      </c>
      <c r="B25" s="11">
        <v>27</v>
      </c>
      <c r="C25" s="11" t="str">
        <f t="shared" si="0"/>
        <v>A6</v>
      </c>
      <c r="D25" s="11">
        <f t="shared" si="1"/>
        <v>23.3</v>
      </c>
      <c r="H25" s="11">
        <f t="shared" si="2"/>
        <v>3.6999999999999993</v>
      </c>
      <c r="I25" s="11">
        <f t="shared" si="3"/>
        <v>3.6999999999999993</v>
      </c>
      <c r="J25" s="11">
        <f t="shared" si="4"/>
        <v>13.703703703703701</v>
      </c>
      <c r="K25" s="11">
        <f t="shared" si="5"/>
        <v>13.689999999999994</v>
      </c>
    </row>
    <row r="26" spans="1:11" x14ac:dyDescent="0.35">
      <c r="A26" s="10">
        <v>25</v>
      </c>
      <c r="B26" s="11">
        <v>16</v>
      </c>
      <c r="C26" s="11" t="str">
        <f t="shared" si="0"/>
        <v>A2</v>
      </c>
      <c r="D26" s="11">
        <f t="shared" si="1"/>
        <v>17</v>
      </c>
      <c r="H26" s="11">
        <f t="shared" si="2"/>
        <v>-1</v>
      </c>
      <c r="I26" s="11">
        <f t="shared" si="3"/>
        <v>1</v>
      </c>
      <c r="J26" s="11">
        <f t="shared" si="4"/>
        <v>6.25</v>
      </c>
      <c r="K26" s="11">
        <f t="shared" si="5"/>
        <v>1</v>
      </c>
    </row>
    <row r="27" spans="1:11" x14ac:dyDescent="0.35">
      <c r="A27" s="11">
        <v>26</v>
      </c>
      <c r="B27" s="11">
        <v>18</v>
      </c>
      <c r="C27" s="11" t="str">
        <f t="shared" si="0"/>
        <v>A3</v>
      </c>
      <c r="D27" s="11">
        <f t="shared" si="1"/>
        <v>20</v>
      </c>
      <c r="H27" s="11">
        <f t="shared" si="2"/>
        <v>-2</v>
      </c>
      <c r="I27" s="11">
        <f t="shared" si="3"/>
        <v>2</v>
      </c>
      <c r="J27" s="11">
        <f t="shared" si="4"/>
        <v>11.111111111111111</v>
      </c>
      <c r="K27" s="11">
        <f t="shared" si="5"/>
        <v>4</v>
      </c>
    </row>
    <row r="28" spans="1:11" x14ac:dyDescent="0.35">
      <c r="A28" s="10">
        <v>27</v>
      </c>
      <c r="B28" s="11">
        <v>17</v>
      </c>
      <c r="C28" s="11" t="str">
        <f t="shared" si="0"/>
        <v>A3</v>
      </c>
      <c r="D28" s="11">
        <f t="shared" si="1"/>
        <v>20</v>
      </c>
      <c r="H28" s="11">
        <f t="shared" si="2"/>
        <v>-3</v>
      </c>
      <c r="I28" s="11">
        <f t="shared" si="3"/>
        <v>3</v>
      </c>
      <c r="J28" s="11">
        <f t="shared" si="4"/>
        <v>17.647058823529413</v>
      </c>
      <c r="K28" s="11">
        <f t="shared" si="5"/>
        <v>9</v>
      </c>
    </row>
    <row r="29" spans="1:11" x14ac:dyDescent="0.35">
      <c r="A29" s="11">
        <v>28</v>
      </c>
      <c r="B29" s="11">
        <v>19</v>
      </c>
      <c r="C29" s="11" t="str">
        <f t="shared" si="0"/>
        <v>A3</v>
      </c>
      <c r="D29" s="11">
        <f t="shared" si="1"/>
        <v>20</v>
      </c>
      <c r="H29" s="11">
        <f t="shared" si="2"/>
        <v>-1</v>
      </c>
      <c r="I29" s="11">
        <f t="shared" si="3"/>
        <v>1</v>
      </c>
      <c r="J29" s="11">
        <f t="shared" si="4"/>
        <v>5.2631578947368416</v>
      </c>
      <c r="K29" s="11">
        <f t="shared" si="5"/>
        <v>1</v>
      </c>
    </row>
    <row r="30" spans="1:11" x14ac:dyDescent="0.35">
      <c r="A30" s="10">
        <v>29</v>
      </c>
      <c r="B30" s="11">
        <v>21</v>
      </c>
      <c r="C30" s="11" t="str">
        <f t="shared" si="0"/>
        <v>A4</v>
      </c>
      <c r="D30" s="11">
        <f t="shared" si="1"/>
        <v>23</v>
      </c>
      <c r="H30" s="11">
        <f t="shared" si="2"/>
        <v>-2</v>
      </c>
      <c r="I30" s="11">
        <f t="shared" si="3"/>
        <v>2</v>
      </c>
      <c r="J30" s="11">
        <f t="shared" si="4"/>
        <v>9.5238095238095237</v>
      </c>
      <c r="K30" s="11">
        <f t="shared" si="5"/>
        <v>4</v>
      </c>
    </row>
    <row r="31" spans="1:11" x14ac:dyDescent="0.35">
      <c r="A31" s="11">
        <v>30</v>
      </c>
      <c r="B31" s="11">
        <v>20</v>
      </c>
      <c r="C31" s="11" t="str">
        <f t="shared" si="0"/>
        <v>A4</v>
      </c>
      <c r="D31" s="11">
        <f t="shared" si="1"/>
        <v>23</v>
      </c>
      <c r="H31" s="11">
        <f t="shared" si="2"/>
        <v>-3</v>
      </c>
      <c r="I31" s="11">
        <f t="shared" si="3"/>
        <v>3</v>
      </c>
      <c r="J31" s="11">
        <f t="shared" si="4"/>
        <v>15</v>
      </c>
      <c r="K31" s="11">
        <f t="shared" si="5"/>
        <v>9</v>
      </c>
    </row>
    <row r="32" spans="1:11" x14ac:dyDescent="0.35">
      <c r="A32" s="10">
        <v>31</v>
      </c>
      <c r="B32" s="11">
        <v>23</v>
      </c>
      <c r="C32" s="11" t="str">
        <f t="shared" si="0"/>
        <v>A5</v>
      </c>
      <c r="D32" s="11">
        <f t="shared" si="1"/>
        <v>22.5</v>
      </c>
      <c r="H32" s="11">
        <f t="shared" si="2"/>
        <v>0.5</v>
      </c>
      <c r="I32" s="11">
        <f t="shared" si="3"/>
        <v>0.5</v>
      </c>
      <c r="J32" s="11">
        <f t="shared" si="4"/>
        <v>2.1739130434782608</v>
      </c>
      <c r="K32" s="11">
        <f t="shared" si="5"/>
        <v>0.25</v>
      </c>
    </row>
    <row r="33" spans="1:11" x14ac:dyDescent="0.35">
      <c r="A33" s="11">
        <v>32</v>
      </c>
      <c r="B33" s="11">
        <v>25</v>
      </c>
      <c r="C33" s="11" t="str">
        <f t="shared" si="0"/>
        <v>A5</v>
      </c>
      <c r="D33" s="11">
        <f t="shared" si="1"/>
        <v>22.5</v>
      </c>
      <c r="H33" s="11">
        <f t="shared" si="2"/>
        <v>2.5</v>
      </c>
      <c r="I33" s="11">
        <f t="shared" si="3"/>
        <v>2.5</v>
      </c>
      <c r="J33" s="11">
        <f t="shared" si="4"/>
        <v>10</v>
      </c>
      <c r="K33" s="11">
        <f t="shared" si="5"/>
        <v>6.25</v>
      </c>
    </row>
    <row r="34" spans="1:11" x14ac:dyDescent="0.35">
      <c r="A34" s="10">
        <v>33</v>
      </c>
      <c r="B34" s="11">
        <v>24</v>
      </c>
      <c r="C34" s="11" t="str">
        <f t="shared" ref="C34:C61" si="6">IF(AND(B34&gt;=11,B34&lt;14),"A1",
IF(AND(B34&gt;=14,B34&lt;17),"A2",
IF(AND(B34&gt;=17,B34&lt;20),"A3",
IF(AND(B34&gt;=20,B34&lt;23),"A4",
IF(AND(B34&gt;=23,B34&lt;26),"A5",
IF(AND(B34&gt;=26,B34&lt;29),"A6",
"A7"))))))</f>
        <v>A5</v>
      </c>
      <c r="D34" s="11">
        <f t="shared" ref="D34:D61" si="7">VLOOKUP(C34,$F$2:$G$8,2,FALSE)</f>
        <v>22.5</v>
      </c>
      <c r="H34" s="11">
        <f t="shared" si="2"/>
        <v>1.5</v>
      </c>
      <c r="I34" s="11">
        <f t="shared" ref="I34:I61" si="8">ABS(H34)</f>
        <v>1.5</v>
      </c>
      <c r="J34" s="11">
        <f t="shared" ref="J34:J61" si="9">(I34/B34)*100</f>
        <v>6.25</v>
      </c>
      <c r="K34" s="11">
        <f t="shared" ref="K34:K61" si="10">H34^2</f>
        <v>2.25</v>
      </c>
    </row>
    <row r="35" spans="1:11" x14ac:dyDescent="0.35">
      <c r="A35" s="11">
        <v>34</v>
      </c>
      <c r="B35" s="11">
        <v>26</v>
      </c>
      <c r="C35" s="11" t="str">
        <f t="shared" si="6"/>
        <v>A6</v>
      </c>
      <c r="D35" s="11">
        <f t="shared" si="7"/>
        <v>23.3</v>
      </c>
      <c r="H35" s="11">
        <f t="shared" si="2"/>
        <v>2.6999999999999993</v>
      </c>
      <c r="I35" s="11">
        <f t="shared" si="8"/>
        <v>2.6999999999999993</v>
      </c>
      <c r="J35" s="11">
        <f t="shared" si="9"/>
        <v>10.384615384615383</v>
      </c>
      <c r="K35" s="11">
        <f t="shared" si="10"/>
        <v>7.2899999999999965</v>
      </c>
    </row>
    <row r="36" spans="1:11" x14ac:dyDescent="0.35">
      <c r="A36" s="10">
        <v>35</v>
      </c>
      <c r="B36" s="11">
        <v>28</v>
      </c>
      <c r="C36" s="11" t="str">
        <f t="shared" si="6"/>
        <v>A6</v>
      </c>
      <c r="D36" s="11">
        <f t="shared" si="7"/>
        <v>23.3</v>
      </c>
      <c r="H36" s="11">
        <f t="shared" si="2"/>
        <v>4.6999999999999993</v>
      </c>
      <c r="I36" s="11">
        <f t="shared" si="8"/>
        <v>4.6999999999999993</v>
      </c>
      <c r="J36" s="11">
        <f t="shared" si="9"/>
        <v>16.785714285714285</v>
      </c>
      <c r="K36" s="11">
        <f t="shared" si="10"/>
        <v>22.089999999999993</v>
      </c>
    </row>
    <row r="37" spans="1:11" x14ac:dyDescent="0.35">
      <c r="A37" s="11">
        <v>36</v>
      </c>
      <c r="B37" s="11">
        <v>30</v>
      </c>
      <c r="C37" s="11" t="str">
        <f t="shared" si="6"/>
        <v>A7</v>
      </c>
      <c r="D37" s="11">
        <f t="shared" si="7"/>
        <v>25.5</v>
      </c>
      <c r="H37" s="11">
        <f t="shared" si="2"/>
        <v>4.5</v>
      </c>
      <c r="I37" s="11">
        <f t="shared" si="8"/>
        <v>4.5</v>
      </c>
      <c r="J37" s="11">
        <f t="shared" si="9"/>
        <v>15</v>
      </c>
      <c r="K37" s="11">
        <f t="shared" si="10"/>
        <v>20.25</v>
      </c>
    </row>
    <row r="38" spans="1:11" x14ac:dyDescent="0.35">
      <c r="A38" s="10">
        <v>37</v>
      </c>
      <c r="B38" s="11">
        <v>18</v>
      </c>
      <c r="C38" s="11" t="str">
        <f t="shared" si="6"/>
        <v>A3</v>
      </c>
      <c r="D38" s="11">
        <f t="shared" si="7"/>
        <v>20</v>
      </c>
      <c r="H38" s="11">
        <f t="shared" si="2"/>
        <v>-2</v>
      </c>
      <c r="I38" s="11">
        <f t="shared" si="8"/>
        <v>2</v>
      </c>
      <c r="J38" s="11">
        <f t="shared" si="9"/>
        <v>11.111111111111111</v>
      </c>
      <c r="K38" s="11">
        <f t="shared" si="10"/>
        <v>4</v>
      </c>
    </row>
    <row r="39" spans="1:11" x14ac:dyDescent="0.35">
      <c r="A39" s="11">
        <v>38</v>
      </c>
      <c r="B39" s="11">
        <v>17</v>
      </c>
      <c r="C39" s="11" t="str">
        <f t="shared" si="6"/>
        <v>A3</v>
      </c>
      <c r="D39" s="11">
        <f t="shared" si="7"/>
        <v>20</v>
      </c>
      <c r="H39" s="11">
        <f t="shared" si="2"/>
        <v>-3</v>
      </c>
      <c r="I39" s="11">
        <f t="shared" si="8"/>
        <v>3</v>
      </c>
      <c r="J39" s="11">
        <f t="shared" si="9"/>
        <v>17.647058823529413</v>
      </c>
      <c r="K39" s="11">
        <f t="shared" si="10"/>
        <v>9</v>
      </c>
    </row>
    <row r="40" spans="1:11" x14ac:dyDescent="0.35">
      <c r="A40" s="10">
        <v>39</v>
      </c>
      <c r="B40" s="11">
        <v>20</v>
      </c>
      <c r="C40" s="11" t="str">
        <f t="shared" si="6"/>
        <v>A4</v>
      </c>
      <c r="D40" s="11">
        <f t="shared" si="7"/>
        <v>23</v>
      </c>
      <c r="H40" s="11">
        <f t="shared" ref="H40" si="11">B40-D40</f>
        <v>-3</v>
      </c>
      <c r="I40" s="11">
        <f t="shared" si="8"/>
        <v>3</v>
      </c>
      <c r="J40" s="11">
        <f t="shared" si="9"/>
        <v>15</v>
      </c>
      <c r="K40" s="11">
        <f t="shared" si="10"/>
        <v>9</v>
      </c>
    </row>
    <row r="41" spans="1:11" x14ac:dyDescent="0.35">
      <c r="A41" s="11">
        <v>40</v>
      </c>
      <c r="B41" s="11">
        <v>22</v>
      </c>
      <c r="C41" s="11" t="str">
        <f t="shared" si="6"/>
        <v>A4</v>
      </c>
      <c r="D41" s="11">
        <f t="shared" si="7"/>
        <v>23</v>
      </c>
      <c r="H41" s="11">
        <f t="shared" ref="H41:H61" si="12">B41-D41</f>
        <v>-1</v>
      </c>
      <c r="I41" s="11">
        <f t="shared" si="8"/>
        <v>1</v>
      </c>
      <c r="J41" s="11">
        <f t="shared" si="9"/>
        <v>4.5454545454545459</v>
      </c>
      <c r="K41" s="11">
        <f t="shared" si="10"/>
        <v>1</v>
      </c>
    </row>
    <row r="42" spans="1:11" x14ac:dyDescent="0.35">
      <c r="A42" s="10">
        <v>41</v>
      </c>
      <c r="B42" s="11">
        <v>21</v>
      </c>
      <c r="C42" s="11" t="str">
        <f t="shared" si="6"/>
        <v>A4</v>
      </c>
      <c r="D42" s="11">
        <f t="shared" si="7"/>
        <v>23</v>
      </c>
      <c r="H42" s="11">
        <f t="shared" si="12"/>
        <v>-2</v>
      </c>
      <c r="I42" s="11">
        <f t="shared" si="8"/>
        <v>2</v>
      </c>
      <c r="J42" s="11">
        <f t="shared" si="9"/>
        <v>9.5238095238095237</v>
      </c>
      <c r="K42" s="11">
        <f t="shared" si="10"/>
        <v>4</v>
      </c>
    </row>
    <row r="43" spans="1:11" x14ac:dyDescent="0.35">
      <c r="A43" s="11">
        <v>42</v>
      </c>
      <c r="B43" s="11">
        <v>24</v>
      </c>
      <c r="C43" s="11" t="str">
        <f t="shared" si="6"/>
        <v>A5</v>
      </c>
      <c r="D43" s="11">
        <f t="shared" si="7"/>
        <v>22.5</v>
      </c>
      <c r="H43" s="11">
        <f t="shared" si="12"/>
        <v>1.5</v>
      </c>
      <c r="I43" s="11">
        <f t="shared" si="8"/>
        <v>1.5</v>
      </c>
      <c r="J43" s="11">
        <f t="shared" si="9"/>
        <v>6.25</v>
      </c>
      <c r="K43" s="11">
        <f t="shared" si="10"/>
        <v>2.25</v>
      </c>
    </row>
    <row r="44" spans="1:11" x14ac:dyDescent="0.35">
      <c r="A44" s="10">
        <v>43</v>
      </c>
      <c r="B44" s="11">
        <v>26</v>
      </c>
      <c r="C44" s="11" t="str">
        <f t="shared" si="6"/>
        <v>A6</v>
      </c>
      <c r="D44" s="11">
        <f t="shared" si="7"/>
        <v>23.3</v>
      </c>
      <c r="H44" s="11">
        <f t="shared" si="12"/>
        <v>2.6999999999999993</v>
      </c>
      <c r="I44" s="11">
        <f t="shared" si="8"/>
        <v>2.6999999999999993</v>
      </c>
      <c r="J44" s="11">
        <f t="shared" si="9"/>
        <v>10.384615384615383</v>
      </c>
      <c r="K44" s="11">
        <f t="shared" si="10"/>
        <v>7.2899999999999965</v>
      </c>
    </row>
    <row r="45" spans="1:11" x14ac:dyDescent="0.35">
      <c r="A45" s="11">
        <v>44</v>
      </c>
      <c r="B45" s="11">
        <v>25</v>
      </c>
      <c r="C45" s="11" t="str">
        <f t="shared" si="6"/>
        <v>A5</v>
      </c>
      <c r="D45" s="11">
        <f t="shared" si="7"/>
        <v>22.5</v>
      </c>
      <c r="H45" s="11">
        <f t="shared" si="12"/>
        <v>2.5</v>
      </c>
      <c r="I45" s="11">
        <f t="shared" si="8"/>
        <v>2.5</v>
      </c>
      <c r="J45" s="11">
        <f t="shared" si="9"/>
        <v>10</v>
      </c>
      <c r="K45" s="11">
        <f t="shared" si="10"/>
        <v>6.25</v>
      </c>
    </row>
    <row r="46" spans="1:11" x14ac:dyDescent="0.35">
      <c r="A46" s="10">
        <v>45</v>
      </c>
      <c r="B46" s="11">
        <v>27</v>
      </c>
      <c r="C46" s="11" t="str">
        <f t="shared" si="6"/>
        <v>A6</v>
      </c>
      <c r="D46" s="11">
        <f t="shared" si="7"/>
        <v>23.3</v>
      </c>
      <c r="H46" s="11">
        <f t="shared" si="12"/>
        <v>3.6999999999999993</v>
      </c>
      <c r="I46" s="11">
        <f t="shared" si="8"/>
        <v>3.6999999999999993</v>
      </c>
      <c r="J46" s="11">
        <f t="shared" si="9"/>
        <v>13.703703703703701</v>
      </c>
      <c r="K46" s="11">
        <f t="shared" si="10"/>
        <v>13.689999999999994</v>
      </c>
    </row>
    <row r="47" spans="1:11" x14ac:dyDescent="0.35">
      <c r="A47" s="11">
        <v>46</v>
      </c>
      <c r="B47" s="11">
        <v>29</v>
      </c>
      <c r="C47" s="11" t="str">
        <f t="shared" si="6"/>
        <v>A7</v>
      </c>
      <c r="D47" s="11">
        <f t="shared" si="7"/>
        <v>25.5</v>
      </c>
      <c r="H47" s="11">
        <f t="shared" si="12"/>
        <v>3.5</v>
      </c>
      <c r="I47" s="11">
        <f t="shared" si="8"/>
        <v>3.5</v>
      </c>
      <c r="J47" s="11">
        <f t="shared" si="9"/>
        <v>12.068965517241379</v>
      </c>
      <c r="K47" s="11">
        <f t="shared" si="10"/>
        <v>12.25</v>
      </c>
    </row>
    <row r="48" spans="1:11" x14ac:dyDescent="0.35">
      <c r="A48" s="10">
        <v>47</v>
      </c>
      <c r="B48" s="11">
        <v>30</v>
      </c>
      <c r="C48" s="11" t="str">
        <f t="shared" si="6"/>
        <v>A7</v>
      </c>
      <c r="D48" s="11">
        <f t="shared" si="7"/>
        <v>25.5</v>
      </c>
      <c r="H48" s="11">
        <f t="shared" si="12"/>
        <v>4.5</v>
      </c>
      <c r="I48" s="11">
        <f t="shared" si="8"/>
        <v>4.5</v>
      </c>
      <c r="J48" s="11">
        <f t="shared" si="9"/>
        <v>15</v>
      </c>
      <c r="K48" s="11">
        <f t="shared" si="10"/>
        <v>20.25</v>
      </c>
    </row>
    <row r="49" spans="1:11" x14ac:dyDescent="0.35">
      <c r="A49" s="11">
        <v>48</v>
      </c>
      <c r="B49" s="11">
        <v>28</v>
      </c>
      <c r="C49" s="11" t="str">
        <f t="shared" si="6"/>
        <v>A6</v>
      </c>
      <c r="D49" s="11">
        <f t="shared" si="7"/>
        <v>23.3</v>
      </c>
      <c r="H49" s="11">
        <f t="shared" si="12"/>
        <v>4.6999999999999993</v>
      </c>
      <c r="I49" s="11">
        <f t="shared" si="8"/>
        <v>4.6999999999999993</v>
      </c>
      <c r="J49" s="11">
        <f t="shared" si="9"/>
        <v>16.785714285714285</v>
      </c>
      <c r="K49" s="11">
        <f t="shared" si="10"/>
        <v>22.089999999999993</v>
      </c>
    </row>
    <row r="50" spans="1:11" x14ac:dyDescent="0.35">
      <c r="A50" s="10">
        <v>49</v>
      </c>
      <c r="B50" s="11">
        <v>19</v>
      </c>
      <c r="C50" s="11" t="str">
        <f t="shared" si="6"/>
        <v>A3</v>
      </c>
      <c r="D50" s="11">
        <f t="shared" si="7"/>
        <v>20</v>
      </c>
      <c r="H50" s="11">
        <f t="shared" si="12"/>
        <v>-1</v>
      </c>
      <c r="I50" s="11">
        <f t="shared" si="8"/>
        <v>1</v>
      </c>
      <c r="J50" s="11">
        <f t="shared" si="9"/>
        <v>5.2631578947368416</v>
      </c>
      <c r="K50" s="11">
        <f t="shared" si="10"/>
        <v>1</v>
      </c>
    </row>
    <row r="51" spans="1:11" x14ac:dyDescent="0.35">
      <c r="A51" s="11">
        <v>50</v>
      </c>
      <c r="B51" s="11">
        <v>21</v>
      </c>
      <c r="C51" s="11" t="str">
        <f t="shared" si="6"/>
        <v>A4</v>
      </c>
      <c r="D51" s="11">
        <f t="shared" si="7"/>
        <v>23</v>
      </c>
      <c r="H51" s="11">
        <f t="shared" si="12"/>
        <v>-2</v>
      </c>
      <c r="I51" s="11">
        <f t="shared" si="8"/>
        <v>2</v>
      </c>
      <c r="J51" s="11">
        <f t="shared" si="9"/>
        <v>9.5238095238095237</v>
      </c>
      <c r="K51" s="11">
        <f t="shared" si="10"/>
        <v>4</v>
      </c>
    </row>
    <row r="52" spans="1:11" x14ac:dyDescent="0.35">
      <c r="A52" s="10">
        <v>51</v>
      </c>
      <c r="B52" s="11">
        <v>20</v>
      </c>
      <c r="C52" s="11" t="str">
        <f t="shared" si="6"/>
        <v>A4</v>
      </c>
      <c r="D52" s="11">
        <f t="shared" si="7"/>
        <v>23</v>
      </c>
      <c r="H52" s="11">
        <f t="shared" si="12"/>
        <v>-3</v>
      </c>
      <c r="I52" s="11">
        <f t="shared" si="8"/>
        <v>3</v>
      </c>
      <c r="J52" s="11">
        <f t="shared" si="9"/>
        <v>15</v>
      </c>
      <c r="K52" s="11">
        <f t="shared" si="10"/>
        <v>9</v>
      </c>
    </row>
    <row r="53" spans="1:11" x14ac:dyDescent="0.35">
      <c r="A53" s="11">
        <v>52</v>
      </c>
      <c r="B53" s="11">
        <v>23</v>
      </c>
      <c r="C53" s="11" t="str">
        <f t="shared" si="6"/>
        <v>A5</v>
      </c>
      <c r="D53" s="11">
        <f t="shared" si="7"/>
        <v>22.5</v>
      </c>
      <c r="H53" s="11">
        <f t="shared" si="12"/>
        <v>0.5</v>
      </c>
      <c r="I53" s="11">
        <f t="shared" si="8"/>
        <v>0.5</v>
      </c>
      <c r="J53" s="11">
        <f t="shared" si="9"/>
        <v>2.1739130434782608</v>
      </c>
      <c r="K53" s="11">
        <f t="shared" si="10"/>
        <v>0.25</v>
      </c>
    </row>
    <row r="54" spans="1:11" x14ac:dyDescent="0.35">
      <c r="A54" s="10">
        <v>53</v>
      </c>
      <c r="B54" s="11">
        <v>25</v>
      </c>
      <c r="C54" s="11" t="str">
        <f t="shared" si="6"/>
        <v>A5</v>
      </c>
      <c r="D54" s="11">
        <f t="shared" si="7"/>
        <v>22.5</v>
      </c>
      <c r="H54" s="11">
        <f t="shared" si="12"/>
        <v>2.5</v>
      </c>
      <c r="I54" s="11">
        <f t="shared" si="8"/>
        <v>2.5</v>
      </c>
      <c r="J54" s="11">
        <f t="shared" si="9"/>
        <v>10</v>
      </c>
      <c r="K54" s="11">
        <f t="shared" si="10"/>
        <v>6.25</v>
      </c>
    </row>
    <row r="55" spans="1:11" x14ac:dyDescent="0.35">
      <c r="A55" s="11">
        <v>54</v>
      </c>
      <c r="B55" s="11">
        <v>24</v>
      </c>
      <c r="C55" s="11" t="str">
        <f t="shared" si="6"/>
        <v>A5</v>
      </c>
      <c r="D55" s="11">
        <f t="shared" si="7"/>
        <v>22.5</v>
      </c>
      <c r="H55" s="11">
        <f t="shared" si="12"/>
        <v>1.5</v>
      </c>
      <c r="I55" s="11">
        <f t="shared" si="8"/>
        <v>1.5</v>
      </c>
      <c r="J55" s="11">
        <f t="shared" si="9"/>
        <v>6.25</v>
      </c>
      <c r="K55" s="11">
        <f t="shared" si="10"/>
        <v>2.25</v>
      </c>
    </row>
    <row r="56" spans="1:11" x14ac:dyDescent="0.35">
      <c r="A56" s="10">
        <v>55</v>
      </c>
      <c r="B56" s="11">
        <v>27</v>
      </c>
      <c r="C56" s="11" t="str">
        <f t="shared" si="6"/>
        <v>A6</v>
      </c>
      <c r="D56" s="11">
        <f t="shared" si="7"/>
        <v>23.3</v>
      </c>
      <c r="H56" s="11">
        <f t="shared" si="12"/>
        <v>3.6999999999999993</v>
      </c>
      <c r="I56" s="11">
        <f t="shared" si="8"/>
        <v>3.6999999999999993</v>
      </c>
      <c r="J56" s="11">
        <f t="shared" si="9"/>
        <v>13.703703703703701</v>
      </c>
      <c r="K56" s="11">
        <f t="shared" si="10"/>
        <v>13.689999999999994</v>
      </c>
    </row>
    <row r="57" spans="1:11" x14ac:dyDescent="0.35">
      <c r="A57" s="11">
        <v>56</v>
      </c>
      <c r="B57" s="11">
        <v>30</v>
      </c>
      <c r="C57" s="11" t="str">
        <f t="shared" si="6"/>
        <v>A7</v>
      </c>
      <c r="D57" s="11">
        <f t="shared" si="7"/>
        <v>25.5</v>
      </c>
      <c r="H57" s="11">
        <f t="shared" si="12"/>
        <v>4.5</v>
      </c>
      <c r="I57" s="11">
        <f t="shared" si="8"/>
        <v>4.5</v>
      </c>
      <c r="J57" s="11">
        <f t="shared" si="9"/>
        <v>15</v>
      </c>
      <c r="K57" s="11">
        <f t="shared" si="10"/>
        <v>20.25</v>
      </c>
    </row>
    <row r="58" spans="1:11" x14ac:dyDescent="0.35">
      <c r="A58" s="10">
        <v>57</v>
      </c>
      <c r="B58" s="11">
        <v>28</v>
      </c>
      <c r="C58" s="11" t="str">
        <f t="shared" si="6"/>
        <v>A6</v>
      </c>
      <c r="D58" s="11">
        <f t="shared" si="7"/>
        <v>23.3</v>
      </c>
      <c r="H58" s="11">
        <f t="shared" si="12"/>
        <v>4.6999999999999993</v>
      </c>
      <c r="I58" s="11">
        <f t="shared" si="8"/>
        <v>4.6999999999999993</v>
      </c>
      <c r="J58" s="11">
        <f t="shared" si="9"/>
        <v>16.785714285714285</v>
      </c>
      <c r="K58" s="11">
        <f t="shared" si="10"/>
        <v>22.089999999999993</v>
      </c>
    </row>
    <row r="59" spans="1:11" x14ac:dyDescent="0.35">
      <c r="A59" s="11">
        <v>58</v>
      </c>
      <c r="B59" s="11">
        <v>29</v>
      </c>
      <c r="C59" s="11" t="str">
        <f t="shared" si="6"/>
        <v>A7</v>
      </c>
      <c r="D59" s="11">
        <f t="shared" si="7"/>
        <v>25.5</v>
      </c>
      <c r="H59" s="11">
        <f t="shared" si="12"/>
        <v>3.5</v>
      </c>
      <c r="I59" s="11">
        <f t="shared" si="8"/>
        <v>3.5</v>
      </c>
      <c r="J59" s="11">
        <f t="shared" si="9"/>
        <v>12.068965517241379</v>
      </c>
      <c r="K59" s="11">
        <f t="shared" si="10"/>
        <v>12.25</v>
      </c>
    </row>
    <row r="60" spans="1:11" x14ac:dyDescent="0.35">
      <c r="A60" s="10">
        <v>59</v>
      </c>
      <c r="B60" s="11">
        <v>27</v>
      </c>
      <c r="C60" s="11" t="str">
        <f t="shared" si="6"/>
        <v>A6</v>
      </c>
      <c r="D60" s="11">
        <f t="shared" si="7"/>
        <v>23.3</v>
      </c>
      <c r="H60" s="11">
        <f t="shared" si="12"/>
        <v>3.6999999999999993</v>
      </c>
      <c r="I60" s="11">
        <f t="shared" si="8"/>
        <v>3.6999999999999993</v>
      </c>
      <c r="J60" s="11">
        <f t="shared" si="9"/>
        <v>13.703703703703701</v>
      </c>
      <c r="K60" s="11">
        <f t="shared" si="10"/>
        <v>13.689999999999994</v>
      </c>
    </row>
    <row r="61" spans="1:11" x14ac:dyDescent="0.35">
      <c r="A61" s="11">
        <v>60</v>
      </c>
      <c r="B61" s="11">
        <v>30</v>
      </c>
      <c r="C61" s="11" t="str">
        <f t="shared" si="6"/>
        <v>A7</v>
      </c>
      <c r="D61" s="11">
        <f t="shared" si="7"/>
        <v>25.5</v>
      </c>
      <c r="H61" s="11">
        <f t="shared" si="12"/>
        <v>4.5</v>
      </c>
      <c r="I61" s="11">
        <f t="shared" si="8"/>
        <v>4.5</v>
      </c>
      <c r="J61" s="11">
        <f t="shared" si="9"/>
        <v>15</v>
      </c>
      <c r="K61" s="11">
        <f t="shared" si="10"/>
        <v>20.25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</vt:lpstr>
      <vt:lpstr>DATA</vt:lpstr>
      <vt:lpstr>PLOT DATA</vt:lpstr>
      <vt:lpstr>STATIONARY TEST</vt:lpstr>
      <vt:lpstr>ACF PACF</vt:lpstr>
      <vt:lpstr>ARIMA 101</vt:lpstr>
      <vt:lpstr>FORECAST</vt:lpstr>
      <vt:lpstr>EVALUASI</vt:lpstr>
      <vt:lpstr>DATA FTS</vt:lpstr>
      <vt:lpstr>UOD</vt:lpstr>
      <vt:lpstr>INTERVAL</vt:lpstr>
      <vt:lpstr>FUZZIFIKASI</vt:lpstr>
      <vt:lpstr>FLR</vt:lpstr>
      <vt:lpstr>FLRG</vt:lpstr>
      <vt:lpstr>DEFUZZIFIKASI</vt:lpstr>
      <vt:lpstr>FORECAST FTS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FAHMI PC</dc:creator>
  <cp:lastModifiedBy>123</cp:lastModifiedBy>
  <dcterms:created xsi:type="dcterms:W3CDTF">2026-05-15T13:25:13Z</dcterms:created>
  <dcterms:modified xsi:type="dcterms:W3CDTF">2026-06-09T08:54:05Z</dcterms:modified>
</cp:coreProperties>
</file>